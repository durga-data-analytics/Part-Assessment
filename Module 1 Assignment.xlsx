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5c964d8ccabc90cd/Desktop/Data assessment/Module Assignment/Module 1 Assignment/"/>
    </mc:Choice>
  </mc:AlternateContent>
  <xr:revisionPtr revIDLastSave="144" documentId="14_{5E956D94-35F9-4D28-B244-B716A5603C2C}" xr6:coauthVersionLast="47" xr6:coauthVersionMax="47" xr10:uidLastSave="{0125E97F-F59A-4CC5-B327-307EF9C22848}"/>
  <bookViews>
    <workbookView xWindow="-108" yWindow="-108" windowWidth="23256" windowHeight="12456" activeTab="3" xr2:uid="{00000000-000D-0000-FFFF-FFFF00000000}"/>
  </bookViews>
  <sheets>
    <sheet name="Dataset Original" sheetId="1" r:id="rId1"/>
    <sheet name="module 1 assignment" sheetId="4" r:id="rId2"/>
    <sheet name="Observation" sheetId="5" r:id="rId3"/>
    <sheet name="Sheet3" sheetId="8" r:id="rId4"/>
    <sheet name="ROUGH NOTE" sheetId="7" r:id="rId5"/>
  </sheets>
  <definedNames>
    <definedName name="Slicer_Price_Range">#N/A</definedName>
    <definedName name="Slicer_Quantity">#N/A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hJb8T1ZghnA6qFS/bC5j8xshLTM/vtIaNva7vzkMTCI="/>
    </ext>
  </extLst>
</workbook>
</file>

<file path=xl/calcChain.xml><?xml version="1.0" encoding="utf-8"?>
<calcChain xmlns="http://schemas.openxmlformats.org/spreadsheetml/2006/main">
  <c r="G35" i="7" l="1"/>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G3" i="7"/>
  <c r="J2" i="7" a="1"/>
  <c r="J2" i="7" s="1"/>
  <c r="I2" i="7" a="1"/>
  <c r="I2" i="7" s="1"/>
  <c r="H2" i="7" a="1"/>
  <c r="H2" i="7" s="1"/>
  <c r="G2" i="7"/>
  <c r="I2" i="4" a="1"/>
  <c r="I2" i="4" s="1"/>
  <c r="J2" i="4" a="1"/>
  <c r="J2" i="4" s="1"/>
  <c r="H2" i="4" a="1"/>
  <c r="H2" i="4" s="1"/>
  <c r="F51" i="4"/>
  <c r="F50" i="4"/>
  <c r="F43" i="4"/>
  <c r="F4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2" i="4"/>
  <c r="F46" i="4"/>
  <c r="F45" i="4"/>
  <c r="F4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<sst xmlns="http://schemas.openxmlformats.org/spreadsheetml/2006/main" count="565" uniqueCount="189">
  <si>
    <t>Product ID</t>
  </si>
  <si>
    <t>Product Name</t>
  </si>
  <si>
    <t>Brand Name</t>
  </si>
  <si>
    <t>Price ($)</t>
  </si>
  <si>
    <t>Quantity</t>
  </si>
  <si>
    <t>Category</t>
  </si>
  <si>
    <t>28-JAN-US</t>
  </si>
  <si>
    <t>Laptop</t>
  </si>
  <si>
    <t>Dell</t>
  </si>
  <si>
    <t>Electronics</t>
  </si>
  <si>
    <t>15-FEB-US</t>
  </si>
  <si>
    <t>Sneakers</t>
  </si>
  <si>
    <t>Nike</t>
  </si>
  <si>
    <t>Fashion</t>
  </si>
  <si>
    <t>03-MAR-US</t>
  </si>
  <si>
    <t>Coffee Maker</t>
  </si>
  <si>
    <t>Keurig</t>
  </si>
  <si>
    <t>Kitchen</t>
  </si>
  <si>
    <t>11-APR-US</t>
  </si>
  <si>
    <t>Smartphone</t>
  </si>
  <si>
    <t>Samsung</t>
  </si>
  <si>
    <t>22-MAY-US</t>
  </si>
  <si>
    <t>Backpack</t>
  </si>
  <si>
    <t>North Face</t>
  </si>
  <si>
    <t>Outdoor</t>
  </si>
  <si>
    <t>07-JUN-UK</t>
  </si>
  <si>
    <t>Headphones</t>
  </si>
  <si>
    <t>Sony</t>
  </si>
  <si>
    <t>19-JUL-UK</t>
  </si>
  <si>
    <t>T-shirt</t>
  </si>
  <si>
    <t>Adidas</t>
  </si>
  <si>
    <t>23-AUG-UK</t>
  </si>
  <si>
    <t>Blender</t>
  </si>
  <si>
    <t>Ninja</t>
  </si>
  <si>
    <t>05-SEP-UK</t>
  </si>
  <si>
    <t>Tablet</t>
  </si>
  <si>
    <t>Apple</t>
  </si>
  <si>
    <t>14-OCT-UK</t>
  </si>
  <si>
    <t>Hiking Boots</t>
  </si>
  <si>
    <t>Timberland</t>
  </si>
  <si>
    <t>17-JUN-IN</t>
  </si>
  <si>
    <t>HP</t>
  </si>
  <si>
    <t>25-NOV-AU</t>
  </si>
  <si>
    <t>08-DEC-DE</t>
  </si>
  <si>
    <t>Nespresso</t>
  </si>
  <si>
    <t>18-FEB-CA</t>
  </si>
  <si>
    <t>Smartwatch</t>
  </si>
  <si>
    <t>Fitbit</t>
  </si>
  <si>
    <t>16-APR-ES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</si>
  <si>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</si>
  <si>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</si>
  <si>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</si>
  <si>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</si>
  <si>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</si>
  <si>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</si>
  <si>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</si>
  <si>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</si>
  <si>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</si>
  <si>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</si>
  <si>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</si>
  <si>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</si>
  <si>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</si>
  <si>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</si>
  <si>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</si>
  <si>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</si>
  <si>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</si>
  <si>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</si>
  <si>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</si>
  <si>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</si>
  <si>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</si>
  <si>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</si>
  <si>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</si>
  <si>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</si>
  <si>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</si>
  <si>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</si>
  <si>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</si>
  <si>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</si>
  <si>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</si>
  <si>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</si>
  <si>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</si>
  <si>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</si>
  <si>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</si>
  <si>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</si>
  <si>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</si>
  <si>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</si>
  <si>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</si>
  <si>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</si>
  <si>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</si>
  <si>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</si>
  <si>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</si>
  <si>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</si>
  <si>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</si>
  <si>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</si>
  <si>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Heading</t>
  </si>
  <si>
    <t>merge &amp; centre</t>
  </si>
  <si>
    <t>Alignment</t>
  </si>
  <si>
    <t>row &amp; column</t>
  </si>
  <si>
    <t>Sum</t>
  </si>
  <si>
    <t>all borders</t>
  </si>
  <si>
    <t>FUNCTIONS</t>
  </si>
  <si>
    <t>ACTIONS</t>
  </si>
  <si>
    <t>Task:</t>
  </si>
  <si>
    <t>Basic Data Exploration:</t>
  </si>
  <si>
    <t>Completed</t>
  </si>
  <si>
    <t xml:space="preserve">                 Total price of all product</t>
  </si>
  <si>
    <t xml:space="preserve">                 Count of the product</t>
  </si>
  <si>
    <t xml:space="preserve">                 Average price of the product</t>
  </si>
  <si>
    <t>☑</t>
  </si>
  <si>
    <t>Average price</t>
  </si>
  <si>
    <t xml:space="preserve">                 Minimum price along the products</t>
  </si>
  <si>
    <t xml:space="preserve">                 Maximum price along the products </t>
  </si>
  <si>
    <t>Maximum Price</t>
  </si>
  <si>
    <t>Minimum Price</t>
  </si>
  <si>
    <t xml:space="preserve">        2. Minimum and Maximum values:</t>
  </si>
  <si>
    <t>$1000</t>
  </si>
  <si>
    <t xml:space="preserve">        3. Logical functions-IF:</t>
  </si>
  <si>
    <t xml:space="preserve">                 New column (Price Range)</t>
  </si>
  <si>
    <t>High Price</t>
  </si>
  <si>
    <t>Standard Price</t>
  </si>
  <si>
    <t xml:space="preserve">                Total price of Electronics(SUMIF)</t>
  </si>
  <si>
    <t xml:space="preserve">                No. of produts with price ≤100(COUNTIF)</t>
  </si>
  <si>
    <t xml:space="preserve">  </t>
  </si>
  <si>
    <t>Excel Assignment 1</t>
  </si>
  <si>
    <t>Data Exploration</t>
  </si>
  <si>
    <t>In Home tab (Font)</t>
  </si>
  <si>
    <t>In Home tab (Alignment)</t>
  </si>
  <si>
    <t xml:space="preserve">        5.Text Format - LEFT,RIGHT,MID:</t>
  </si>
  <si>
    <t xml:space="preserve">FORMULA </t>
  </si>
  <si>
    <r>
      <rPr>
        <sz val="10"/>
        <color theme="1"/>
        <rFont val="Arial Black"/>
        <family val="2"/>
      </rPr>
      <t xml:space="preserve">        </t>
    </r>
    <r>
      <rPr>
        <sz val="12"/>
        <color theme="1"/>
        <rFont val="Arial"/>
        <family val="2"/>
      </rPr>
      <t>1.</t>
    </r>
    <r>
      <rPr>
        <sz val="10"/>
        <color theme="1"/>
        <rFont val="Arial"/>
        <family val="2"/>
        <scheme val="minor"/>
      </rPr>
      <t xml:space="preserve"> </t>
    </r>
    <r>
      <rPr>
        <sz val="12"/>
        <color theme="1"/>
        <rFont val="Arial"/>
        <family val="2"/>
        <scheme val="minor"/>
      </rPr>
      <t>Sum,Count,and Average:</t>
    </r>
  </si>
  <si>
    <r>
      <t xml:space="preserve">                 Price </t>
    </r>
    <r>
      <rPr>
        <sz val="12"/>
        <color theme="1"/>
        <rFont val="Aptos Narrow"/>
        <family val="2"/>
      </rPr>
      <t>≥</t>
    </r>
    <r>
      <rPr>
        <sz val="12"/>
        <color theme="1"/>
        <rFont val="Arial"/>
        <family val="2"/>
        <scheme val="minor"/>
      </rPr>
      <t>$500→High Price</t>
    </r>
  </si>
  <si>
    <r>
      <t xml:space="preserve">                 Price </t>
    </r>
    <r>
      <rPr>
        <sz val="12"/>
        <color theme="1"/>
        <rFont val="Arial"/>
        <family val="2"/>
      </rPr>
      <t>&lt; $500→Standard Price</t>
    </r>
  </si>
  <si>
    <t xml:space="preserve">        4. SUMIF and COUNTIF:</t>
  </si>
  <si>
    <t>RESULT</t>
  </si>
  <si>
    <t>A</t>
  </si>
  <si>
    <t>B</t>
  </si>
  <si>
    <t>S.NO</t>
  </si>
  <si>
    <t>Price Range</t>
  </si>
  <si>
    <t>IF(D2&gt;500,"High price","Standard Value")</t>
  </si>
  <si>
    <t>SUM(D2:D35)</t>
  </si>
  <si>
    <t>COUNTA(B2:B35)</t>
  </si>
  <si>
    <t>AVERAGE(D2:D35)</t>
  </si>
  <si>
    <t>MAX(D2:D35)</t>
  </si>
  <si>
    <t>MIN(D2:D35)</t>
  </si>
  <si>
    <t>New Column named as "Price Range)</t>
  </si>
  <si>
    <t>Total price of all products (Sum)</t>
  </si>
  <si>
    <t>Average price of the products (Average)</t>
  </si>
  <si>
    <t>Maximum price among all products (Maximum Values)</t>
  </si>
  <si>
    <t>New column named Price Range (Insert New Column)</t>
  </si>
  <si>
    <t>Minimum price among all products (Minimum Values)</t>
  </si>
  <si>
    <t>New column named as "Country Code" with  (Right Functions)</t>
  </si>
  <si>
    <t>New column named as Month with 4-6 characters  (Mid Functions)</t>
  </si>
  <si>
    <t>Total price of Electronic Product</t>
  </si>
  <si>
    <t xml:space="preserve">High price </t>
  </si>
  <si>
    <t>SUMIF(F2:F35,"Electronics",D2:D35)</t>
  </si>
  <si>
    <t>Total Product price &lt;100</t>
  </si>
  <si>
    <t>COUNTIF(D2:D35,"&lt;100")</t>
  </si>
  <si>
    <t xml:space="preserve">insert colum Day </t>
  </si>
  <si>
    <t xml:space="preserve">insert column Country Code </t>
  </si>
  <si>
    <t>insert column Month</t>
  </si>
  <si>
    <t>Day</t>
  </si>
  <si>
    <t>Country ID</t>
  </si>
  <si>
    <t>Month</t>
  </si>
  <si>
    <t>LEFT(A2:A35,"2")</t>
  </si>
  <si>
    <t>MID(A2:A35,4,3)</t>
  </si>
  <si>
    <t>RIGHT(A2:A35,"2")</t>
  </si>
  <si>
    <t>Total price of Electronics products (Using SUMIF Functions)</t>
  </si>
  <si>
    <t>Products with a price less than $100 (Using Countif Functions)</t>
  </si>
  <si>
    <t>New Column named "Day" with Product ID (Left Functions)</t>
  </si>
  <si>
    <t>Products exist in the dataset (Count IF)</t>
  </si>
  <si>
    <t xml:space="preserve">OBSERVATION:                                                                                                                                                                                                                         
                              Successfully completed all the required Excel task with the help of Excel Functions like "SUM,COUNTA,AVERAGE,
MIN,MAX,IF,SUMIF,COUNTIF,LEFT,RIGHT,MID,INSERT NEW COLUMN".This assignment improved my basic Excel Skills.
</t>
  </si>
  <si>
    <t>Standard Value</t>
  </si>
  <si>
    <t>IF(D2&gt;500," High Price"," Standard Value")</t>
  </si>
  <si>
    <t>IF(D2&gt;500," High Price"," Standard Price")</t>
  </si>
  <si>
    <t>Insert (Price Range)</t>
  </si>
  <si>
    <t>Border</t>
  </si>
  <si>
    <t>Counta</t>
  </si>
  <si>
    <t>Insert Column</t>
  </si>
  <si>
    <r>
      <t>Eg : 28-JAN-US</t>
    </r>
    <r>
      <rPr>
        <sz val="10"/>
        <color rgb="FF000000"/>
        <rFont val="Arial"/>
        <family val="2"/>
      </rPr>
      <t>→ 28</t>
    </r>
  </si>
  <si>
    <r>
      <t>Eg : 28-JAN-US</t>
    </r>
    <r>
      <rPr>
        <sz val="10"/>
        <color rgb="FF000000"/>
        <rFont val="Arial"/>
        <family val="2"/>
      </rPr>
      <t>→</t>
    </r>
    <r>
      <rPr>
        <sz val="10"/>
        <color rgb="FF000000"/>
        <rFont val="Arial"/>
        <family val="2"/>
        <scheme val="minor"/>
      </rPr>
      <t xml:space="preserve"> US</t>
    </r>
  </si>
  <si>
    <t>Eg : 28-JAN-US→ JAN</t>
  </si>
  <si>
    <r>
      <t>Price ≥ $500 → High Price (In Price Range)</t>
    </r>
    <r>
      <rPr>
        <sz val="10"/>
        <color theme="2"/>
        <rFont val="Arial"/>
        <family val="2"/>
      </rPr>
      <t>→</t>
    </r>
    <r>
      <rPr>
        <sz val="10"/>
        <color theme="2"/>
        <rFont val="Arial Rounded MT Bold"/>
        <family val="2"/>
      </rPr>
      <t>IF Functions</t>
    </r>
  </si>
  <si>
    <r>
      <t>Price &lt; $500 →Standard Value (In Price Range)</t>
    </r>
    <r>
      <rPr>
        <sz val="10"/>
        <color theme="2"/>
        <rFont val="Arial"/>
        <family val="2"/>
      </rPr>
      <t>→</t>
    </r>
    <r>
      <rPr>
        <sz val="10"/>
        <color theme="2"/>
        <rFont val="Arial Rounded MT Bold"/>
        <family val="2"/>
      </rPr>
      <t>IF Functions</t>
    </r>
  </si>
  <si>
    <t xml:space="preserve">                 New Column(Country Code)</t>
  </si>
  <si>
    <t xml:space="preserve">                 New Column(Day)</t>
  </si>
  <si>
    <t xml:space="preserve">                 New Column(Month)</t>
  </si>
  <si>
    <t>Row Labels</t>
  </si>
  <si>
    <t>Grand Total</t>
  </si>
  <si>
    <t>Sum of Price ($)</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</si>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</sst>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4" x14ac:knownFonts="1">
    <font>
      <sz val="10"/>
      <color rgb="FF000000"/>
      <name val="Arial"/>
      <scheme val="minor"/>
    </font>
    <font>
      <b/>
      <sz val="10"/>
      <color theme="1"/>
      <name val="Arial"/>
    </font>
    <font>
      <sz val="10"/>
      <color theme="1"/>
      <name val="Arial"/>
    </font>
    <font>
      <sz val="10"/>
      <color rgb="FF000000"/>
      <name val="Arial"/>
      <family val="2"/>
      <scheme val="minor"/>
    </font>
    <font>
      <sz val="12"/>
      <color rgb="FF000000"/>
      <name val="Arial Black"/>
      <family val="2"/>
    </font>
    <font>
      <b/>
      <sz val="18"/>
      <color rgb="FF00B050"/>
      <name val="Aptos Narrow"/>
      <family val="2"/>
    </font>
    <font>
      <sz val="16"/>
      <color rgb="FF000000"/>
      <name val="Arial Black"/>
      <family val="2"/>
    </font>
    <font>
      <b/>
      <sz val="12"/>
      <color rgb="FF000000"/>
      <name val="Arial Black"/>
      <family val="2"/>
    </font>
    <font>
      <sz val="16"/>
      <color theme="1"/>
      <name val="Arial Black"/>
      <family val="2"/>
    </font>
    <font>
      <sz val="14"/>
      <color theme="1"/>
      <name val="Arial Black"/>
      <family val="2"/>
    </font>
    <font>
      <sz val="11"/>
      <color theme="1"/>
      <name val="Arial Black"/>
      <family val="2"/>
    </font>
    <font>
      <sz val="10"/>
      <color theme="1"/>
      <name val="Arial"/>
      <family val="2"/>
      <scheme val="minor"/>
    </font>
    <font>
      <sz val="10"/>
      <color theme="1"/>
      <name val="Arial Black"/>
      <family val="2"/>
    </font>
    <font>
      <sz val="12"/>
      <color theme="1"/>
      <name val="Arial"/>
      <family val="2"/>
    </font>
    <font>
      <sz val="12"/>
      <color theme="1"/>
      <name val="Arial"/>
      <family val="2"/>
      <scheme val="minor"/>
    </font>
    <font>
      <sz val="12"/>
      <color theme="1"/>
      <name val="Aptos Narrow"/>
      <family val="2"/>
    </font>
    <font>
      <sz val="11"/>
      <color rgb="FF000000"/>
      <name val="Arial Rounded MT Bold"/>
      <family val="2"/>
    </font>
    <font>
      <b/>
      <sz val="10"/>
      <color theme="1"/>
      <name val="Arial"/>
      <family val="2"/>
    </font>
    <font>
      <sz val="10"/>
      <color rgb="FF000000"/>
      <name val="Arial"/>
      <family val="2"/>
    </font>
    <font>
      <sz val="11"/>
      <color theme="2"/>
      <name val="Arial Rounded MT Bold"/>
      <family val="2"/>
    </font>
    <font>
      <sz val="10"/>
      <color theme="2"/>
      <name val="Arial Rounded MT Bold"/>
      <family val="2"/>
    </font>
    <font>
      <sz val="10"/>
      <color theme="2"/>
      <name val="Arial"/>
      <family val="2"/>
    </font>
    <font>
      <sz val="12"/>
      <color theme="2"/>
      <name val="Arial Black"/>
      <family val="2"/>
    </font>
    <font>
      <sz val="10"/>
      <color theme="2"/>
      <name val="Arial"/>
      <family val="2"/>
      <scheme val="minor"/>
    </font>
  </fonts>
  <fills count="12">
    <fill>
      <patternFill patternType="none"/>
    </fill>
    <fill>
      <patternFill patternType="gray125"/>
    </fill>
    <fill>
      <patternFill patternType="solid">
        <fgColor rgb="FF4DD0E1"/>
        <bgColor rgb="FF4DD0E1"/>
      </patternFill>
    </fill>
    <fill>
      <patternFill patternType="solid">
        <fgColor rgb="FFE0F7FA"/>
        <bgColor rgb="FFE0F7FA"/>
      </patternFill>
    </fill>
    <fill>
      <patternFill patternType="solid">
        <fgColor rgb="FFFFFFFF"/>
        <bgColor rgb="FFFFFFFF"/>
      </patternFill>
    </fill>
    <fill>
      <patternFill patternType="solid">
        <fgColor theme="7" tint="0.39997558519241921"/>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58">
    <xf numFmtId="0" fontId="0" fillId="0" borderId="0" xfId="0"/>
    <xf numFmtId="0" fontId="1" fillId="2" borderId="0" xfId="0" applyFont="1" applyFill="1" applyAlignment="1">
      <alignment horizontal="center"/>
    </xf>
    <xf numFmtId="0" fontId="1" fillId="0" borderId="0" xfId="0" applyFont="1" applyAlignment="1">
      <alignment horizontal="center"/>
    </xf>
    <xf numFmtId="0" fontId="2" fillId="0" borderId="0" xfId="0" applyFont="1"/>
    <xf numFmtId="0" fontId="2" fillId="3" borderId="0" xfId="0" applyFont="1" applyFill="1"/>
    <xf numFmtId="0" fontId="2" fillId="4" borderId="0" xfId="0" applyFont="1" applyFill="1"/>
    <xf numFmtId="0" fontId="0" fillId="0" borderId="0" xfId="0" applyAlignment="1">
      <alignment horizontal="center"/>
    </xf>
    <xf numFmtId="0" fontId="0" fillId="0" borderId="0" xfId="0" applyAlignment="1">
      <alignment horizontal="left"/>
    </xf>
    <xf numFmtId="0" fontId="0" fillId="6" borderId="1" xfId="0" applyFill="1" applyBorder="1"/>
    <xf numFmtId="0" fontId="3" fillId="6" borderId="1" xfId="0" applyFont="1" applyFill="1" applyBorder="1"/>
    <xf numFmtId="0" fontId="0" fillId="8" borderId="1" xfId="0" applyFill="1" applyBorder="1" applyAlignment="1">
      <alignment horizontal="left"/>
    </xf>
    <xf numFmtId="0" fontId="3" fillId="8" borderId="1" xfId="0" applyFont="1" applyFill="1" applyBorder="1" applyAlignment="1">
      <alignment horizontal="left"/>
    </xf>
    <xf numFmtId="0" fontId="3" fillId="8" borderId="1" xfId="0" applyFont="1" applyFill="1" applyBorder="1"/>
    <xf numFmtId="0" fontId="3" fillId="0" borderId="0" xfId="0" applyFont="1"/>
    <xf numFmtId="0" fontId="6" fillId="0" borderId="0" xfId="0" applyFont="1" applyAlignment="1">
      <alignment horizontal="center"/>
    </xf>
    <xf numFmtId="0" fontId="4" fillId="9" borderId="1" xfId="0" applyFont="1" applyFill="1" applyBorder="1" applyAlignment="1">
      <alignment horizontal="center"/>
    </xf>
    <xf numFmtId="0" fontId="0" fillId="10" borderId="1" xfId="0" applyFill="1" applyBorder="1"/>
    <xf numFmtId="0" fontId="3" fillId="10" borderId="1" xfId="0" applyFont="1" applyFill="1" applyBorder="1"/>
    <xf numFmtId="0" fontId="7" fillId="7" borderId="1" xfId="0" applyFont="1" applyFill="1" applyBorder="1" applyAlignment="1">
      <alignment horizontal="center"/>
    </xf>
    <xf numFmtId="0" fontId="7" fillId="5" borderId="1" xfId="0" applyFont="1" applyFill="1" applyBorder="1" applyAlignment="1">
      <alignment horizontal="center"/>
    </xf>
    <xf numFmtId="0" fontId="4" fillId="0" borderId="0" xfId="0" applyFont="1" applyAlignment="1">
      <alignment horizontal="center"/>
    </xf>
    <xf numFmtId="0" fontId="9" fillId="0" borderId="1" xfId="0" applyFont="1" applyBorder="1"/>
    <xf numFmtId="0" fontId="10" fillId="0" borderId="1" xfId="0" applyFont="1" applyBorder="1"/>
    <xf numFmtId="0" fontId="11" fillId="0" borderId="1" xfId="0" applyFont="1" applyBorder="1"/>
    <xf numFmtId="0" fontId="14" fillId="0" borderId="1" xfId="0" applyFont="1" applyBorder="1"/>
    <xf numFmtId="0" fontId="3" fillId="0" borderId="0" xfId="0" applyFont="1" applyAlignment="1">
      <alignment horizontal="center"/>
    </xf>
    <xf numFmtId="2" fontId="0" fillId="0" borderId="0" xfId="0" applyNumberFormat="1" applyAlignment="1">
      <alignment horizontal="center"/>
    </xf>
    <xf numFmtId="0" fontId="16" fillId="0" borderId="0" xfId="0" applyFont="1"/>
    <xf numFmtId="0" fontId="16" fillId="0" borderId="0" xfId="0" applyFont="1" applyAlignment="1">
      <alignment horizontal="center"/>
    </xf>
    <xf numFmtId="2" fontId="3" fillId="0" borderId="0" xfId="0" applyNumberFormat="1" applyFont="1" applyAlignment="1">
      <alignment horizontal="center"/>
    </xf>
    <xf numFmtId="0" fontId="2" fillId="0" borderId="0" xfId="0" applyFont="1" applyAlignment="1">
      <alignment horizontal="center"/>
    </xf>
    <xf numFmtId="0" fontId="2" fillId="3" borderId="0" xfId="0" applyFont="1" applyFill="1" applyAlignment="1">
      <alignment horizontal="center"/>
    </xf>
    <xf numFmtId="164" fontId="2" fillId="0" borderId="0" xfId="0" applyNumberFormat="1" applyFont="1" applyAlignment="1">
      <alignment horizontal="center"/>
    </xf>
    <xf numFmtId="164" fontId="2" fillId="3" borderId="0" xfId="0" applyNumberFormat="1" applyFont="1" applyFill="1" applyAlignment="1">
      <alignment horizontal="center"/>
    </xf>
    <xf numFmtId="0" fontId="11" fillId="8" borderId="1" xfId="0" applyFont="1" applyFill="1" applyBorder="1" applyAlignment="1">
      <alignment horizontal="left"/>
    </xf>
    <xf numFmtId="0" fontId="17" fillId="2" borderId="0" xfId="0" applyFont="1" applyFill="1" applyAlignment="1">
      <alignment horizontal="center"/>
    </xf>
    <xf numFmtId="0" fontId="23" fillId="11" borderId="0" xfId="0" applyFont="1" applyFill="1"/>
    <xf numFmtId="0" fontId="23" fillId="11" borderId="0" xfId="0" applyFont="1" applyFill="1" applyAlignment="1">
      <alignment horizontal="left"/>
    </xf>
    <xf numFmtId="0" fontId="23" fillId="11" borderId="0" xfId="0" applyFont="1" applyFill="1" applyAlignment="1">
      <alignment horizontal="center"/>
    </xf>
    <xf numFmtId="0" fontId="19" fillId="11" borderId="1" xfId="0" applyFont="1" applyFill="1" applyBorder="1" applyAlignment="1">
      <alignment horizontal="center"/>
    </xf>
    <xf numFmtId="0" fontId="11" fillId="0" borderId="1" xfId="0" applyFont="1" applyBorder="1" applyAlignment="1">
      <alignment horizontal="center"/>
    </xf>
    <xf numFmtId="0" fontId="5" fillId="0" borderId="1" xfId="0" applyFont="1" applyBorder="1" applyAlignment="1">
      <alignment horizontal="center"/>
    </xf>
    <xf numFmtId="0" fontId="0" fillId="0" borderId="0" xfId="0" pivotButton="1"/>
    <xf numFmtId="164" fontId="0" fillId="0" borderId="0" xfId="0" applyNumberFormat="1"/>
    <xf numFmtId="0" fontId="20" fillId="11" borderId="1" xfId="0" applyFont="1" applyFill="1" applyBorder="1" applyAlignment="1">
      <alignment horizontal="left"/>
    </xf>
    <xf numFmtId="0" fontId="4" fillId="0" borderId="0" xfId="0" applyFont="1" applyAlignment="1">
      <alignment horizontal="center"/>
    </xf>
    <xf numFmtId="0" fontId="22" fillId="11" borderId="1" xfId="0" applyFont="1" applyFill="1" applyBorder="1" applyAlignment="1">
      <alignment horizontal="center"/>
    </xf>
    <xf numFmtId="0" fontId="19" fillId="11" borderId="1" xfId="0" applyFont="1" applyFill="1" applyBorder="1" applyAlignment="1">
      <alignment horizontal="center"/>
    </xf>
    <xf numFmtId="164" fontId="19" fillId="11" borderId="1" xfId="0" applyNumberFormat="1" applyFont="1" applyFill="1" applyBorder="1" applyAlignment="1">
      <alignment horizontal="center"/>
    </xf>
    <xf numFmtId="2" fontId="19" fillId="11" borderId="1" xfId="0" applyNumberFormat="1" applyFont="1" applyFill="1" applyBorder="1" applyAlignment="1">
      <alignment horizontal="center"/>
    </xf>
    <xf numFmtId="0" fontId="20" fillId="11" borderId="5" xfId="0" applyFont="1" applyFill="1" applyBorder="1" applyAlignment="1">
      <alignment horizontal="center" vertical="top" wrapText="1"/>
    </xf>
    <xf numFmtId="0" fontId="20" fillId="11" borderId="0" xfId="0" applyFont="1" applyFill="1" applyAlignment="1">
      <alignment horizontal="center" vertical="top" wrapText="1"/>
    </xf>
    <xf numFmtId="0" fontId="20" fillId="11" borderId="2" xfId="0" applyFont="1" applyFill="1" applyBorder="1" applyAlignment="1">
      <alignment horizontal="left"/>
    </xf>
    <xf numFmtId="0" fontId="20" fillId="11" borderId="3" xfId="0" applyFont="1" applyFill="1" applyBorder="1" applyAlignment="1">
      <alignment horizontal="left"/>
    </xf>
    <xf numFmtId="0" fontId="20" fillId="11" borderId="4" xfId="0" applyFont="1" applyFill="1" applyBorder="1" applyAlignment="1">
      <alignment horizontal="left"/>
    </xf>
    <xf numFmtId="0" fontId="6" fillId="0" borderId="1" xfId="0" applyFont="1" applyBorder="1" applyAlignment="1">
      <alignment horizontal="center"/>
    </xf>
    <xf numFmtId="0" fontId="8" fillId="0" borderId="1" xfId="0" applyFont="1" applyBorder="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Assignment.xlsx]Sheet3!PivotTable1</c:name>
    <c:fmtId val="3"/>
  </c:pivotSource>
  <c:chart>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55555555555554"/>
          <c:y val="0.39759040536599594"/>
          <c:w val="0.70401312335958011"/>
          <c:h val="0.59880067074948962"/>
        </c:manualLayout>
      </c:layout>
      <c:barChart>
        <c:barDir val="bar"/>
        <c:grouping val="clustered"/>
        <c:varyColors val="0"/>
        <c:ser>
          <c:idx val="0"/>
          <c:order val="0"/>
          <c:tx>
            <c:strRef>
              <c:f>Sheet3!$B$3</c:f>
              <c:strCache>
                <c:ptCount val="1"/>
                <c:pt idx="0">
                  <c:v>Sum of Quantity</c:v>
                </c:pt>
              </c:strCache>
            </c:strRef>
          </c:tx>
          <c:spPr>
            <a:solidFill>
              <a:schemeClr val="accent1"/>
            </a:solidFill>
            <a:ln>
              <a:noFill/>
            </a:ln>
            <a:effectLst/>
          </c:spPr>
          <c:invertIfNegative val="0"/>
          <c:cat>
            <c:strRef>
              <c:f>Sheet3!$A$4:$A$25</c:f>
              <c:strCache>
                <c:ptCount val="21"/>
                <c:pt idx="0">
                  <c:v>Backpack</c:v>
                </c:pt>
                <c:pt idx="1">
                  <c:v>Blender</c:v>
                </c:pt>
                <c:pt idx="2">
                  <c:v>Camera</c:v>
                </c:pt>
                <c:pt idx="3">
                  <c:v>Camping Tent</c:v>
                </c:pt>
                <c:pt idx="4">
                  <c:v>Coffee Maker</c:v>
                </c:pt>
                <c:pt idx="5">
                  <c:v>Dress</c:v>
                </c:pt>
                <c:pt idx="6">
                  <c:v>Fitness Tracker</c:v>
                </c:pt>
                <c:pt idx="7">
                  <c:v>Headphones</c:v>
                </c:pt>
                <c:pt idx="8">
                  <c:v>Hiking Boots</c:v>
                </c:pt>
                <c:pt idx="9">
                  <c:v>Jeans</c:v>
                </c:pt>
                <c:pt idx="10">
                  <c:v>Laptop</c:v>
                </c:pt>
                <c:pt idx="11">
                  <c:v>Laptop Bag</c:v>
                </c:pt>
                <c:pt idx="12">
                  <c:v>Microwave</c:v>
                </c:pt>
                <c:pt idx="13">
                  <c:v>Smartphone</c:v>
                </c:pt>
                <c:pt idx="14">
                  <c:v>Smartwatch</c:v>
                </c:pt>
                <c:pt idx="15">
                  <c:v>Sneakers</c:v>
                </c:pt>
                <c:pt idx="16">
                  <c:v>Sunglasses</c:v>
                </c:pt>
                <c:pt idx="17">
                  <c:v>Tablet</c:v>
                </c:pt>
                <c:pt idx="18">
                  <c:v>Toaster</c:v>
                </c:pt>
                <c:pt idx="19">
                  <c:v>T-shirt</c:v>
                </c:pt>
                <c:pt idx="20">
                  <c:v>Watch</c:v>
                </c:pt>
              </c:strCache>
            </c:strRef>
          </c:cat>
          <c:val>
            <c:numRef>
              <c:f>Sheet3!$B$4:$B$25</c:f>
              <c:numCache>
                <c:formatCode>General</c:formatCode>
                <c:ptCount val="21"/>
                <c:pt idx="0">
                  <c:v>20</c:v>
                </c:pt>
                <c:pt idx="1">
                  <c:v>75</c:v>
                </c:pt>
                <c:pt idx="2">
                  <c:v>50</c:v>
                </c:pt>
                <c:pt idx="3">
                  <c:v>10</c:v>
                </c:pt>
                <c:pt idx="4">
                  <c:v>75</c:v>
                </c:pt>
                <c:pt idx="5">
                  <c:v>30</c:v>
                </c:pt>
                <c:pt idx="6">
                  <c:v>35</c:v>
                </c:pt>
                <c:pt idx="7">
                  <c:v>85</c:v>
                </c:pt>
                <c:pt idx="8">
                  <c:v>10</c:v>
                </c:pt>
                <c:pt idx="9">
                  <c:v>50</c:v>
                </c:pt>
                <c:pt idx="10">
                  <c:v>90</c:v>
                </c:pt>
                <c:pt idx="11">
                  <c:v>70</c:v>
                </c:pt>
                <c:pt idx="12">
                  <c:v>20</c:v>
                </c:pt>
                <c:pt idx="13">
                  <c:v>70</c:v>
                </c:pt>
                <c:pt idx="14">
                  <c:v>30</c:v>
                </c:pt>
                <c:pt idx="15">
                  <c:v>55</c:v>
                </c:pt>
                <c:pt idx="16">
                  <c:v>40</c:v>
                </c:pt>
                <c:pt idx="17">
                  <c:v>50</c:v>
                </c:pt>
                <c:pt idx="18">
                  <c:v>10</c:v>
                </c:pt>
                <c:pt idx="19">
                  <c:v>5</c:v>
                </c:pt>
                <c:pt idx="20">
                  <c:v>20</c:v>
                </c:pt>
              </c:numCache>
            </c:numRef>
          </c:val>
          <c:extLst>
            <c:ext xmlns:c16="http://schemas.microsoft.com/office/drawing/2014/chart" uri="{C3380CC4-5D6E-409C-BE32-E72D297353CC}">
              <c16:uniqueId val="{00000000-F6D0-4D85-B346-A86D16E9B280}"/>
            </c:ext>
          </c:extLst>
        </c:ser>
        <c:ser>
          <c:idx val="1"/>
          <c:order val="1"/>
          <c:tx>
            <c:strRef>
              <c:f>Sheet3!$C$3</c:f>
              <c:strCache>
                <c:ptCount val="1"/>
                <c:pt idx="0">
                  <c:v>Sum of Price ($)</c:v>
                </c:pt>
              </c:strCache>
            </c:strRef>
          </c:tx>
          <c:spPr>
            <a:solidFill>
              <a:schemeClr val="accent2"/>
            </a:solidFill>
            <a:ln>
              <a:noFill/>
            </a:ln>
            <a:effectLst/>
          </c:spPr>
          <c:invertIfNegative val="0"/>
          <c:cat>
            <c:strRef>
              <c:f>Sheet3!$A$4:$A$25</c:f>
              <c:strCache>
                <c:ptCount val="21"/>
                <c:pt idx="0">
                  <c:v>Backpack</c:v>
                </c:pt>
                <c:pt idx="1">
                  <c:v>Blender</c:v>
                </c:pt>
                <c:pt idx="2">
                  <c:v>Camera</c:v>
                </c:pt>
                <c:pt idx="3">
                  <c:v>Camping Tent</c:v>
                </c:pt>
                <c:pt idx="4">
                  <c:v>Coffee Maker</c:v>
                </c:pt>
                <c:pt idx="5">
                  <c:v>Dress</c:v>
                </c:pt>
                <c:pt idx="6">
                  <c:v>Fitness Tracker</c:v>
                </c:pt>
                <c:pt idx="7">
                  <c:v>Headphones</c:v>
                </c:pt>
                <c:pt idx="8">
                  <c:v>Hiking Boots</c:v>
                </c:pt>
                <c:pt idx="9">
                  <c:v>Jeans</c:v>
                </c:pt>
                <c:pt idx="10">
                  <c:v>Laptop</c:v>
                </c:pt>
                <c:pt idx="11">
                  <c:v>Laptop Bag</c:v>
                </c:pt>
                <c:pt idx="12">
                  <c:v>Microwave</c:v>
                </c:pt>
                <c:pt idx="13">
                  <c:v>Smartphone</c:v>
                </c:pt>
                <c:pt idx="14">
                  <c:v>Smartwatch</c:v>
                </c:pt>
                <c:pt idx="15">
                  <c:v>Sneakers</c:v>
                </c:pt>
                <c:pt idx="16">
                  <c:v>Sunglasses</c:v>
                </c:pt>
                <c:pt idx="17">
                  <c:v>Tablet</c:v>
                </c:pt>
                <c:pt idx="18">
                  <c:v>Toaster</c:v>
                </c:pt>
                <c:pt idx="19">
                  <c:v>T-shirt</c:v>
                </c:pt>
                <c:pt idx="20">
                  <c:v>Watch</c:v>
                </c:pt>
              </c:strCache>
            </c:strRef>
          </c:cat>
          <c:val>
            <c:numRef>
              <c:f>Sheet3!$C$4:$C$25</c:f>
              <c:numCache>
                <c:formatCode>"₹"\ #,##0</c:formatCode>
                <c:ptCount val="21"/>
                <c:pt idx="0">
                  <c:v>70</c:v>
                </c:pt>
                <c:pt idx="1">
                  <c:v>490</c:v>
                </c:pt>
                <c:pt idx="2">
                  <c:v>700</c:v>
                </c:pt>
                <c:pt idx="3">
                  <c:v>200</c:v>
                </c:pt>
                <c:pt idx="4">
                  <c:v>250</c:v>
                </c:pt>
                <c:pt idx="5">
                  <c:v>60</c:v>
                </c:pt>
                <c:pt idx="6">
                  <c:v>280</c:v>
                </c:pt>
                <c:pt idx="7">
                  <c:v>680</c:v>
                </c:pt>
                <c:pt idx="8">
                  <c:v>130</c:v>
                </c:pt>
                <c:pt idx="9">
                  <c:v>50</c:v>
                </c:pt>
                <c:pt idx="10">
                  <c:v>3880</c:v>
                </c:pt>
                <c:pt idx="11">
                  <c:v>100</c:v>
                </c:pt>
                <c:pt idx="12">
                  <c:v>80</c:v>
                </c:pt>
                <c:pt idx="13">
                  <c:v>1700</c:v>
                </c:pt>
                <c:pt idx="14">
                  <c:v>310</c:v>
                </c:pt>
                <c:pt idx="15">
                  <c:v>170</c:v>
                </c:pt>
                <c:pt idx="16">
                  <c:v>280</c:v>
                </c:pt>
                <c:pt idx="17">
                  <c:v>500</c:v>
                </c:pt>
                <c:pt idx="18">
                  <c:v>40</c:v>
                </c:pt>
                <c:pt idx="19">
                  <c:v>30</c:v>
                </c:pt>
                <c:pt idx="20">
                  <c:v>100</c:v>
                </c:pt>
              </c:numCache>
            </c:numRef>
          </c:val>
          <c:extLst>
            <c:ext xmlns:c16="http://schemas.microsoft.com/office/drawing/2014/chart" uri="{C3380CC4-5D6E-409C-BE32-E72D297353CC}">
              <c16:uniqueId val="{00000002-1323-4772-955D-1D74FF0370DB}"/>
            </c:ext>
          </c:extLst>
        </c:ser>
        <c:dLbls>
          <c:showLegendKey val="0"/>
          <c:showVal val="0"/>
          <c:showCatName val="0"/>
          <c:showSerName val="0"/>
          <c:showPercent val="0"/>
          <c:showBubbleSize val="0"/>
        </c:dLbls>
        <c:gapWidth val="150"/>
        <c:axId val="301532800"/>
        <c:axId val="2138931632"/>
      </c:barChart>
      <c:valAx>
        <c:axId val="213893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532800"/>
        <c:crosses val="autoZero"/>
        <c:crossBetween val="between"/>
      </c:valAx>
      <c:catAx>
        <c:axId val="30153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9316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266700</xdr:colOff>
      <xdr:row>0</xdr:row>
      <xdr:rowOff>95250</xdr:rowOff>
    </xdr:from>
    <xdr:to>
      <xdr:col>10</xdr:col>
      <xdr:colOff>571500</xdr:colOff>
      <xdr:row>16</xdr:row>
      <xdr:rowOff>156210</xdr:rowOff>
    </xdr:to>
    <xdr:graphicFrame macro="">
      <xdr:nvGraphicFramePr>
        <xdr:cNvPr id="2" name="Chart 1">
          <a:extLst>
            <a:ext uri="{FF2B5EF4-FFF2-40B4-BE49-F238E27FC236}">
              <a16:creationId xmlns:a16="http://schemas.microsoft.com/office/drawing/2014/main" id="{B23FEAB2-DA55-57A2-563A-A428BEEB6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175260</xdr:colOff>
      <xdr:row>12</xdr:row>
      <xdr:rowOff>60960</xdr:rowOff>
    </xdr:from>
    <xdr:to>
      <xdr:col>13</xdr:col>
      <xdr:colOff>571500</xdr:colOff>
      <xdr:row>18</xdr:row>
      <xdr:rowOff>74295</xdr:rowOff>
    </xdr:to>
    <mc:AlternateContent xmlns:mc="http://schemas.openxmlformats.org/markup-compatibility/2006">
      <mc:Choice xmlns:a14="http://schemas.microsoft.com/office/drawing/2010/main" Requires="a14">
        <xdr:graphicFrame macro="">
          <xdr:nvGraphicFramePr>
            <xdr:cNvPr id="5" name="Quantity">
              <a:extLst>
                <a:ext uri="{FF2B5EF4-FFF2-40B4-BE49-F238E27FC236}">
                  <a16:creationId xmlns:a16="http://schemas.microsoft.com/office/drawing/2014/main" id="{E9EC972A-BE64-76C2-9F2E-A4D503605880}"/>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8679180" y="2072640"/>
              <a:ext cx="1005840" cy="1019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129540</xdr:colOff>
      <xdr:row>0</xdr:row>
      <xdr:rowOff>129540</xdr:rowOff>
    </xdr:from>
    <xdr:to>
      <xdr:col>10</xdr:col>
      <xdr:colOff>449580</xdr:colOff>
      <xdr:row>5</xdr:row>
      <xdr:rowOff>15240</xdr:rowOff>
    </xdr:to>
    <mc:AlternateContent xmlns:mc="http://schemas.openxmlformats.org/markup-compatibility/2006">
      <mc:Choice xmlns:a14="http://schemas.microsoft.com/office/drawing/2010/main" Requires="a14">
        <xdr:graphicFrame macro="">
          <xdr:nvGraphicFramePr>
            <xdr:cNvPr id="6" name="Price Range">
              <a:extLst>
                <a:ext uri="{FF2B5EF4-FFF2-40B4-BE49-F238E27FC236}">
                  <a16:creationId xmlns:a16="http://schemas.microsoft.com/office/drawing/2014/main" id="{D87E3803-CBC2-A9E6-9343-A85765C971C6}"/>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dr:sp macro="" textlink="">
          <xdr:nvSpPr>
            <xdr:cNvPr id="0" name=""/>
            <xdr:cNvSpPr>
              <a:spLocks noTextEdit="1"/>
            </xdr:cNvSpPr>
          </xdr:nvSpPr>
          <xdr:spPr>
            <a:xfrm>
              <a:off x="6804660" y="129540"/>
              <a:ext cx="92964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refreshedDate="46254.943231944446" createdVersion="8" refreshedVersion="8" minRefreshableVersion="3" recordCount="34" xr:uid="{C803F7F9-4432-43F5-A3BA-20489D816E20}">
  <cacheSource type="worksheet">
    <worksheetSource ref="A1:J35" sheet="ROUGH NOTE"/>
  </cacheSource>
  <cacheFields count="10">
    <cacheField name="Product ID" numFmtId="0">
      <sharedItems/>
    </cacheField>
    <cacheField name="Product Name" numFmtId="0">
      <sharedItems count="21">
        <s v="Laptop"/>
        <s v="Sneakers"/>
        <s v="Coffee Maker"/>
        <s v="Smartphone"/>
        <s v="Backpack"/>
        <s v="Headphones"/>
        <s v="T-shirt"/>
        <s v="Blender"/>
        <s v="Tablet"/>
        <s v="Hiking Boots"/>
        <s v="Smartwatch"/>
        <s v="Laptop Bag"/>
        <s v="Sunglasses"/>
        <s v="Camping Tent"/>
        <s v="Camera"/>
        <s v="Microwave"/>
        <s v="Fitness Tracker"/>
        <s v="Dress"/>
        <s v="Toaster"/>
        <s v="Jeans"/>
        <s v="Watch"/>
      </sharedItems>
    </cacheField>
    <cacheField name="Brand Name" numFmtId="0">
      <sharedItems count="30">
        <s v="Dell"/>
        <s v="Nike"/>
        <s v="Keurig"/>
        <s v="Samsung"/>
        <s v="North Face"/>
        <s v="Sony"/>
        <s v="Adidas"/>
        <s v="Ninja"/>
        <s v="Apple"/>
        <s v="Timberland"/>
        <s v="HP"/>
        <s v="Nespresso"/>
        <s v="Fitbit"/>
        <s v="Bose"/>
        <s v="Samsonite"/>
        <s v="Huawei"/>
        <s v="Asus"/>
        <s v="Oakley"/>
        <s v="Coleman"/>
        <s v="Nikon"/>
        <s v="Panasonic"/>
        <s v="Xiaomi"/>
        <s v="Google"/>
        <s v="Ray-Ban"/>
        <s v="Vitamix"/>
        <s v="Zara"/>
        <s v="Hamilton"/>
        <s v="Garmin"/>
        <s v="Levi's"/>
        <s v="Casio"/>
      </sharedItems>
    </cacheField>
    <cacheField name="Price ($)" numFmtId="164">
      <sharedItems containsSemiMixedTypes="0" containsString="0" containsNumber="1" containsInteger="1" minValue="30" maxValue="1000" count="23">
        <n v="1000"/>
        <n v="80"/>
        <n v="130"/>
        <n v="900"/>
        <n v="70"/>
        <n v="200"/>
        <n v="30"/>
        <n v="90"/>
        <n v="500"/>
        <n v="950"/>
        <n v="120"/>
        <n v="150"/>
        <n v="250"/>
        <n v="50"/>
        <n v="160"/>
        <n v="980"/>
        <n v="700"/>
        <n v="800"/>
        <n v="400"/>
        <n v="230"/>
        <n v="60"/>
        <n v="40"/>
        <n v="100"/>
      </sharedItems>
    </cacheField>
    <cacheField name="Quantity" numFmtId="0">
      <sharedItems containsSemiMixedTypes="0" containsString="0" containsNumber="1" containsInteger="1" minValue="5" maxValue="50" count="10">
        <n v="30"/>
        <n v="15"/>
        <n v="40"/>
        <n v="25"/>
        <n v="20"/>
        <n v="45"/>
        <n v="5"/>
        <n v="35"/>
        <n v="50"/>
        <n v="10"/>
      </sharedItems>
    </cacheField>
    <cacheField name="Category" numFmtId="0">
      <sharedItems/>
    </cacheField>
    <cacheField name="Price Range" numFmtId="0">
      <sharedItems count="2">
        <s v="High Price"/>
        <s v="Standard Value"/>
      </sharedItems>
    </cacheField>
    <cacheField name="Day" numFmtId="0">
      <sharedItems/>
    </cacheField>
    <cacheField name="Country ID" numFmtId="0">
      <sharedItems/>
    </cacheField>
    <cacheField name="Month" numFmtId="0">
      <sharedItems/>
    </cacheField>
  </cacheFields>
  <extLst>
    <ext xmlns:x14="http://schemas.microsoft.com/office/spreadsheetml/2009/9/main" uri="{725AE2AE-9491-48be-B2B4-4EB974FC3084}">
      <x14:pivotCacheDefinition pivotCacheId="1889487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s v="28-JAN-US"/>
    <x v="0"/>
    <x v="0"/>
    <x v="0"/>
    <x v="0"/>
    <s v="Electronics"/>
    <x v="0"/>
    <s v="28"/>
    <s v="US"/>
    <s v="JAN"/>
  </r>
  <r>
    <s v="15-FEB-US"/>
    <x v="1"/>
    <x v="1"/>
    <x v="1"/>
    <x v="1"/>
    <s v="Fashion"/>
    <x v="1"/>
    <s v="15"/>
    <s v="US"/>
    <s v="FEB"/>
  </r>
  <r>
    <s v="03-MAR-US"/>
    <x v="2"/>
    <x v="2"/>
    <x v="2"/>
    <x v="2"/>
    <s v="Kitchen"/>
    <x v="1"/>
    <s v="03"/>
    <s v="US"/>
    <s v="MAR"/>
  </r>
  <r>
    <s v="11-APR-US"/>
    <x v="3"/>
    <x v="3"/>
    <x v="3"/>
    <x v="3"/>
    <s v="Electronics"/>
    <x v="0"/>
    <s v="11"/>
    <s v="US"/>
    <s v="APR"/>
  </r>
  <r>
    <s v="22-MAY-US"/>
    <x v="4"/>
    <x v="4"/>
    <x v="4"/>
    <x v="4"/>
    <s v="Outdoor"/>
    <x v="1"/>
    <s v="22"/>
    <s v="US"/>
    <s v="MAY"/>
  </r>
  <r>
    <s v="07-JUN-UK"/>
    <x v="5"/>
    <x v="5"/>
    <x v="5"/>
    <x v="5"/>
    <s v="Electronics"/>
    <x v="1"/>
    <s v="07"/>
    <s v="UK"/>
    <s v="JUN"/>
  </r>
  <r>
    <s v="19-JUL-UK"/>
    <x v="6"/>
    <x v="6"/>
    <x v="6"/>
    <x v="6"/>
    <s v="Fashion"/>
    <x v="1"/>
    <s v="19"/>
    <s v="UK"/>
    <s v="JUL"/>
  </r>
  <r>
    <s v="23-AUG-UK"/>
    <x v="7"/>
    <x v="7"/>
    <x v="7"/>
    <x v="7"/>
    <s v="Kitchen"/>
    <x v="1"/>
    <s v="23"/>
    <s v="UK"/>
    <s v="AUG"/>
  </r>
  <r>
    <s v="05-SEP-UK"/>
    <x v="8"/>
    <x v="8"/>
    <x v="8"/>
    <x v="8"/>
    <s v="Electronics"/>
    <x v="1"/>
    <s v="05"/>
    <s v="UK"/>
    <s v="SEP"/>
  </r>
  <r>
    <s v="14-OCT-UK"/>
    <x v="9"/>
    <x v="9"/>
    <x v="2"/>
    <x v="9"/>
    <s v="Outdoor"/>
    <x v="1"/>
    <s v="14"/>
    <s v="UK"/>
    <s v="OCT"/>
  </r>
  <r>
    <s v="17-JUN-IN"/>
    <x v="0"/>
    <x v="10"/>
    <x v="9"/>
    <x v="3"/>
    <s v="Electronics"/>
    <x v="0"/>
    <s v="17"/>
    <s v="IN"/>
    <s v="JUN"/>
  </r>
  <r>
    <s v="25-NOV-AU"/>
    <x v="1"/>
    <x v="6"/>
    <x v="7"/>
    <x v="2"/>
    <s v="Fashion"/>
    <x v="1"/>
    <s v="25"/>
    <s v="AU"/>
    <s v="NOV"/>
  </r>
  <r>
    <s v="08-DEC-DE"/>
    <x v="2"/>
    <x v="11"/>
    <x v="10"/>
    <x v="7"/>
    <s v="Kitchen"/>
    <x v="1"/>
    <s v="08"/>
    <s v="DE"/>
    <s v="DEC"/>
  </r>
  <r>
    <s v="18-FEB-CA"/>
    <x v="10"/>
    <x v="12"/>
    <x v="11"/>
    <x v="1"/>
    <s v="Electronics"/>
    <x v="1"/>
    <s v="18"/>
    <s v="CA"/>
    <s v="FEB"/>
  </r>
  <r>
    <s v="16-APR-ES"/>
    <x v="5"/>
    <x v="13"/>
    <x v="12"/>
    <x v="4"/>
    <s v="Electronics"/>
    <x v="1"/>
    <s v="16"/>
    <s v="ES"/>
    <s v="APR"/>
  </r>
  <r>
    <s v="21-AUG-CA"/>
    <x v="11"/>
    <x v="14"/>
    <x v="13"/>
    <x v="7"/>
    <s v="Accessories"/>
    <x v="1"/>
    <s v="21"/>
    <s v="CA"/>
    <s v="AUG"/>
  </r>
  <r>
    <s v="20-AUG-CN"/>
    <x v="10"/>
    <x v="15"/>
    <x v="14"/>
    <x v="1"/>
    <s v="Electronics"/>
    <x v="1"/>
    <s v="20"/>
    <s v="CN"/>
    <s v="AUG"/>
  </r>
  <r>
    <s v="27-JAN-IT"/>
    <x v="0"/>
    <x v="16"/>
    <x v="15"/>
    <x v="9"/>
    <s v="Electronics"/>
    <x v="0"/>
    <s v="27"/>
    <s v="IT"/>
    <s v="JAN"/>
  </r>
  <r>
    <s v="01-MAR-UK"/>
    <x v="12"/>
    <x v="17"/>
    <x v="11"/>
    <x v="1"/>
    <s v="Fashion"/>
    <x v="1"/>
    <s v="01"/>
    <s v="UK"/>
    <s v="MAR"/>
  </r>
  <r>
    <s v="14-AUG-US"/>
    <x v="13"/>
    <x v="18"/>
    <x v="5"/>
    <x v="9"/>
    <s v="Outdoor"/>
    <x v="1"/>
    <s v="14"/>
    <s v="US"/>
    <s v="AUG"/>
  </r>
  <r>
    <s v="14-MAY-RU"/>
    <x v="14"/>
    <x v="19"/>
    <x v="16"/>
    <x v="8"/>
    <s v="Electronics"/>
    <x v="0"/>
    <s v="14"/>
    <s v="RU"/>
    <s v="MAY"/>
  </r>
  <r>
    <s v="09-JAN-CA"/>
    <x v="15"/>
    <x v="20"/>
    <x v="1"/>
    <x v="4"/>
    <s v="Kitchen"/>
    <x v="1"/>
    <s v="09"/>
    <s v="CA"/>
    <s v="JAN"/>
  </r>
  <r>
    <s v="19-JUL-BR"/>
    <x v="16"/>
    <x v="21"/>
    <x v="11"/>
    <x v="0"/>
    <s v="Electronics"/>
    <x v="1"/>
    <s v="19"/>
    <s v="BR"/>
    <s v="JUL"/>
  </r>
  <r>
    <s v="21-AUG-CA"/>
    <x v="11"/>
    <x v="14"/>
    <x v="13"/>
    <x v="7"/>
    <s v="Accessories"/>
    <x v="1"/>
    <s v="21"/>
    <s v="CA"/>
    <s v="AUG"/>
  </r>
  <r>
    <s v="29-SEP-CA"/>
    <x v="3"/>
    <x v="22"/>
    <x v="17"/>
    <x v="5"/>
    <s v="Electronics"/>
    <x v="0"/>
    <s v="29"/>
    <s v="CA"/>
    <s v="SEP"/>
  </r>
  <r>
    <s v="03-JUN-CA"/>
    <x v="12"/>
    <x v="23"/>
    <x v="2"/>
    <x v="3"/>
    <s v="Fashion"/>
    <x v="1"/>
    <s v="03"/>
    <s v="CA"/>
    <s v="JUN"/>
  </r>
  <r>
    <s v="11-JUL-CA"/>
    <x v="7"/>
    <x v="24"/>
    <x v="18"/>
    <x v="2"/>
    <s v="Kitchen"/>
    <x v="1"/>
    <s v="11"/>
    <s v="CA"/>
    <s v="JUL"/>
  </r>
  <r>
    <s v="16-APR-ES"/>
    <x v="5"/>
    <x v="13"/>
    <x v="19"/>
    <x v="4"/>
    <s v="Electronics"/>
    <x v="1"/>
    <s v="16"/>
    <s v="ES"/>
    <s v="APR"/>
  </r>
  <r>
    <s v="07-MAR-CA"/>
    <x v="17"/>
    <x v="25"/>
    <x v="20"/>
    <x v="0"/>
    <s v="Fashion"/>
    <x v="1"/>
    <s v="07"/>
    <s v="CA"/>
    <s v="MAR"/>
  </r>
  <r>
    <s v="13-APR-CA"/>
    <x v="18"/>
    <x v="26"/>
    <x v="21"/>
    <x v="9"/>
    <s v="Kitchen"/>
    <x v="1"/>
    <s v="13"/>
    <s v="CA"/>
    <s v="APR"/>
  </r>
  <r>
    <s v="24-MAY-CA"/>
    <x v="16"/>
    <x v="27"/>
    <x v="2"/>
    <x v="6"/>
    <s v="Electronics"/>
    <x v="1"/>
    <s v="24"/>
    <s v="CA"/>
    <s v="MAY"/>
  </r>
  <r>
    <s v="02-DEC-CA"/>
    <x v="19"/>
    <x v="28"/>
    <x v="13"/>
    <x v="8"/>
    <s v="Fashion"/>
    <x v="1"/>
    <s v="02"/>
    <s v="CA"/>
    <s v="DEC"/>
  </r>
  <r>
    <s v="17-JUN-IN"/>
    <x v="0"/>
    <x v="10"/>
    <x v="9"/>
    <x v="3"/>
    <s v="Electronics"/>
    <x v="0"/>
    <s v="17"/>
    <s v="IN"/>
    <s v="JUN"/>
  </r>
  <r>
    <s v="09-JUL-FR"/>
    <x v="20"/>
    <x v="29"/>
    <x v="22"/>
    <x v="4"/>
    <s v="Accessories"/>
    <x v="1"/>
    <s v="09"/>
    <s v="FR"/>
    <s v="JU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7B6A5E-19D4-490B-A291-6D53CEE6EAC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25" firstHeaderRow="0" firstDataRow="1" firstDataCol="1"/>
  <pivotFields count="10">
    <pivotField showAll="0"/>
    <pivotField axis="axisRow" showAll="0">
      <items count="22">
        <item x="4"/>
        <item x="7"/>
        <item x="14"/>
        <item x="13"/>
        <item x="2"/>
        <item x="17"/>
        <item x="16"/>
        <item x="5"/>
        <item x="9"/>
        <item x="19"/>
        <item x="0"/>
        <item x="11"/>
        <item x="15"/>
        <item x="3"/>
        <item x="10"/>
        <item x="1"/>
        <item x="12"/>
        <item x="8"/>
        <item x="18"/>
        <item x="6"/>
        <item x="20"/>
        <item t="default"/>
      </items>
    </pivotField>
    <pivotField showAll="0">
      <items count="31">
        <item h="1" x="6"/>
        <item x="8"/>
        <item h="1" x="16"/>
        <item h="1" x="13"/>
        <item h="1" x="29"/>
        <item h="1" x="18"/>
        <item h="1" x="0"/>
        <item h="1" x="12"/>
        <item h="1" x="27"/>
        <item h="1" x="22"/>
        <item h="1" x="26"/>
        <item h="1" x="10"/>
        <item h="1" x="15"/>
        <item h="1" x="2"/>
        <item h="1" x="28"/>
        <item h="1" x="11"/>
        <item h="1" x="1"/>
        <item h="1" x="19"/>
        <item h="1" x="7"/>
        <item h="1" x="4"/>
        <item h="1" x="17"/>
        <item h="1" x="20"/>
        <item h="1" x="23"/>
        <item h="1" x="14"/>
        <item h="1" x="3"/>
        <item h="1" x="5"/>
        <item h="1" x="9"/>
        <item h="1" x="24"/>
        <item h="1" x="21"/>
        <item h="1" x="25"/>
        <item t="default"/>
      </items>
    </pivotField>
    <pivotField dataField="1" numFmtId="164" showAll="0">
      <items count="24">
        <item h="1" x="6"/>
        <item h="1" x="21"/>
        <item h="1" x="13"/>
        <item h="1" x="20"/>
        <item h="1" x="4"/>
        <item h="1" x="1"/>
        <item h="1" x="7"/>
        <item h="1" x="22"/>
        <item h="1" x="10"/>
        <item h="1" x="2"/>
        <item h="1" x="11"/>
        <item h="1" x="14"/>
        <item h="1" x="5"/>
        <item h="1" x="19"/>
        <item h="1" x="12"/>
        <item x="18"/>
        <item h="1" x="8"/>
        <item h="1" x="16"/>
        <item h="1" x="17"/>
        <item h="1" x="3"/>
        <item h="1" x="9"/>
        <item h="1" x="15"/>
        <item h="1" x="0"/>
        <item t="default"/>
      </items>
    </pivotField>
    <pivotField dataField="1" showAll="0">
      <items count="11">
        <item x="6"/>
        <item x="9"/>
        <item x="1"/>
        <item x="4"/>
        <item x="3"/>
        <item x="0"/>
        <item x="7"/>
        <item x="2"/>
        <item x="5"/>
        <item x="8"/>
        <item t="default"/>
      </items>
    </pivotField>
    <pivotField showAll="0"/>
    <pivotField showAll="0">
      <items count="3">
        <item x="0"/>
        <item x="1"/>
        <item t="default"/>
      </items>
    </pivotField>
    <pivotField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Quantity" fld="4" baseField="0" baseItem="0"/>
    <dataField name="Sum of Price ($)" fld="3" baseField="0" baseItem="0" numFmtId="164"/>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F1B4E410-C0C3-4BE6-978C-6633B9F68326}" sourceName="Quantity">
  <pivotTables>
    <pivotTable tabId="8" name="PivotTable1"/>
  </pivotTables>
  <data>
    <tabular pivotCacheId="1889487143">
      <items count="10">
        <i x="6" s="1"/>
        <i x="9" s="1"/>
        <i x="1" s="1"/>
        <i x="4" s="1"/>
        <i x="3" s="1"/>
        <i x="0" s="1"/>
        <i x="7" s="1"/>
        <i x="2" s="1"/>
        <i x="5"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12A5C6F7-81DE-4D30-8C3B-A5F75A97DA0D}" sourceName="Price Range">
  <pivotTables>
    <pivotTable tabId="8" name="PivotTable1"/>
  </pivotTables>
  <data>
    <tabular pivotCacheId="188948714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84EDAE17-2E8B-4058-BD65-5B399011649C}" cache="Slicer_Quantity" caption="Quantity" rowHeight="209550"/>
  <slicer name="Price Range" xr10:uid="{598CAD2B-80DF-4087-8ED0-AA92CDCDD057}" cache="Slicer_Price_Range" caption="Price Range"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0"/>
  <sheetViews>
    <sheetView workbookViewId="0">
      <selection activeCell="I8" sqref="I8"/>
    </sheetView>
  </sheetViews>
  <sheetFormatPr defaultColWidth="12.6640625" defaultRowHeight="15" customHeight="1" x14ac:dyDescent="0.25"/>
  <cols>
    <col min="2" max="2" width="14.109375" customWidth="1"/>
  </cols>
  <sheetData>
    <row r="1" spans="1:7" ht="15.75" customHeight="1" x14ac:dyDescent="0.25">
      <c r="A1" s="1" t="s">
        <v>0</v>
      </c>
      <c r="B1" s="1" t="s">
        <v>1</v>
      </c>
      <c r="C1" s="1" t="s">
        <v>2</v>
      </c>
      <c r="D1" s="1" t="s">
        <v>3</v>
      </c>
      <c r="E1" s="1" t="s">
        <v>4</v>
      </c>
      <c r="F1" s="1" t="s">
        <v>5</v>
      </c>
      <c r="G1" s="2"/>
    </row>
    <row r="2" spans="1:7" ht="15.75" customHeight="1" x14ac:dyDescent="0.25">
      <c r="A2" s="3" t="s">
        <v>6</v>
      </c>
      <c r="B2" s="3" t="s">
        <v>7</v>
      </c>
      <c r="C2" s="3" t="s">
        <v>8</v>
      </c>
      <c r="D2" s="3">
        <v>1000</v>
      </c>
      <c r="E2" s="3">
        <v>30</v>
      </c>
      <c r="F2" s="3" t="s">
        <v>9</v>
      </c>
      <c r="G2" s="3"/>
    </row>
    <row r="3" spans="1:7" ht="15.75" customHeight="1" x14ac:dyDescent="0.25">
      <c r="A3" s="4" t="s">
        <v>10</v>
      </c>
      <c r="B3" s="4" t="s">
        <v>11</v>
      </c>
      <c r="C3" s="4" t="s">
        <v>12</v>
      </c>
      <c r="D3" s="4">
        <v>80</v>
      </c>
      <c r="E3" s="4">
        <v>15</v>
      </c>
      <c r="F3" s="4" t="s">
        <v>13</v>
      </c>
      <c r="G3" s="3"/>
    </row>
    <row r="4" spans="1:7" ht="15.75" customHeight="1" x14ac:dyDescent="0.25">
      <c r="A4" s="3" t="s">
        <v>14</v>
      </c>
      <c r="B4" s="3" t="s">
        <v>15</v>
      </c>
      <c r="C4" s="3" t="s">
        <v>16</v>
      </c>
      <c r="D4" s="3">
        <v>130</v>
      </c>
      <c r="E4" s="3">
        <v>40</v>
      </c>
      <c r="F4" s="3" t="s">
        <v>17</v>
      </c>
      <c r="G4" s="3"/>
    </row>
    <row r="5" spans="1:7" ht="15.75" customHeight="1" x14ac:dyDescent="0.25">
      <c r="A5" s="4" t="s">
        <v>18</v>
      </c>
      <c r="B5" s="4" t="s">
        <v>19</v>
      </c>
      <c r="C5" s="4" t="s">
        <v>20</v>
      </c>
      <c r="D5" s="4">
        <v>900</v>
      </c>
      <c r="E5" s="4">
        <v>25</v>
      </c>
      <c r="F5" s="4" t="s">
        <v>9</v>
      </c>
      <c r="G5" s="3"/>
    </row>
    <row r="6" spans="1:7" ht="15.75" customHeight="1" x14ac:dyDescent="0.25">
      <c r="A6" s="3" t="s">
        <v>21</v>
      </c>
      <c r="B6" s="3" t="s">
        <v>22</v>
      </c>
      <c r="C6" s="3" t="s">
        <v>23</v>
      </c>
      <c r="D6" s="3">
        <v>70</v>
      </c>
      <c r="E6" s="3">
        <v>20</v>
      </c>
      <c r="F6" s="3" t="s">
        <v>24</v>
      </c>
      <c r="G6" s="3"/>
    </row>
    <row r="7" spans="1:7" ht="15.75" customHeight="1" x14ac:dyDescent="0.25">
      <c r="A7" s="4" t="s">
        <v>25</v>
      </c>
      <c r="B7" s="4" t="s">
        <v>26</v>
      </c>
      <c r="C7" s="4" t="s">
        <v>27</v>
      </c>
      <c r="D7" s="4">
        <v>200</v>
      </c>
      <c r="E7" s="4">
        <v>45</v>
      </c>
      <c r="F7" s="4" t="s">
        <v>9</v>
      </c>
      <c r="G7" s="3"/>
    </row>
    <row r="8" spans="1:7" ht="15.75" customHeight="1" x14ac:dyDescent="0.25">
      <c r="A8" s="3" t="s">
        <v>28</v>
      </c>
      <c r="B8" s="3" t="s">
        <v>29</v>
      </c>
      <c r="C8" s="3" t="s">
        <v>30</v>
      </c>
      <c r="D8" s="3">
        <v>30</v>
      </c>
      <c r="E8" s="3">
        <v>5</v>
      </c>
      <c r="F8" s="3" t="s">
        <v>13</v>
      </c>
      <c r="G8" s="3"/>
    </row>
    <row r="9" spans="1:7" ht="15.75" customHeight="1" x14ac:dyDescent="0.25">
      <c r="A9" s="4" t="s">
        <v>31</v>
      </c>
      <c r="B9" s="4" t="s">
        <v>32</v>
      </c>
      <c r="C9" s="4" t="s">
        <v>33</v>
      </c>
      <c r="D9" s="4">
        <v>90</v>
      </c>
      <c r="E9" s="4">
        <v>35</v>
      </c>
      <c r="F9" s="4" t="s">
        <v>17</v>
      </c>
      <c r="G9" s="3"/>
    </row>
    <row r="10" spans="1:7" ht="15.75" customHeight="1" x14ac:dyDescent="0.25">
      <c r="A10" s="3" t="s">
        <v>34</v>
      </c>
      <c r="B10" s="3" t="s">
        <v>35</v>
      </c>
      <c r="C10" s="3" t="s">
        <v>36</v>
      </c>
      <c r="D10" s="3">
        <v>500</v>
      </c>
      <c r="E10" s="3">
        <v>50</v>
      </c>
      <c r="F10" s="3" t="s">
        <v>9</v>
      </c>
      <c r="G10" s="3"/>
    </row>
    <row r="11" spans="1:7" ht="15.75" customHeight="1" x14ac:dyDescent="0.25">
      <c r="A11" s="4" t="s">
        <v>37</v>
      </c>
      <c r="B11" s="4" t="s">
        <v>38</v>
      </c>
      <c r="C11" s="4" t="s">
        <v>39</v>
      </c>
      <c r="D11" s="4">
        <v>130</v>
      </c>
      <c r="E11" s="4">
        <v>10</v>
      </c>
      <c r="F11" s="4" t="s">
        <v>24</v>
      </c>
      <c r="G11" s="3"/>
    </row>
    <row r="12" spans="1:7" ht="15.75" customHeight="1" x14ac:dyDescent="0.25">
      <c r="A12" s="3" t="s">
        <v>40</v>
      </c>
      <c r="B12" s="3" t="s">
        <v>7</v>
      </c>
      <c r="C12" s="3" t="s">
        <v>41</v>
      </c>
      <c r="D12" s="3">
        <v>950</v>
      </c>
      <c r="E12" s="3">
        <v>25</v>
      </c>
      <c r="F12" s="3" t="s">
        <v>9</v>
      </c>
      <c r="G12" s="3"/>
    </row>
    <row r="13" spans="1:7" ht="15.75" customHeight="1" x14ac:dyDescent="0.25">
      <c r="A13" s="4" t="s">
        <v>42</v>
      </c>
      <c r="B13" s="4" t="s">
        <v>11</v>
      </c>
      <c r="C13" s="4" t="s">
        <v>30</v>
      </c>
      <c r="D13" s="4">
        <v>90</v>
      </c>
      <c r="E13" s="4">
        <v>40</v>
      </c>
      <c r="F13" s="4" t="s">
        <v>13</v>
      </c>
      <c r="G13" s="3"/>
    </row>
    <row r="14" spans="1:7" ht="15.75" customHeight="1" x14ac:dyDescent="0.25">
      <c r="A14" s="3" t="s">
        <v>43</v>
      </c>
      <c r="B14" s="3" t="s">
        <v>15</v>
      </c>
      <c r="C14" s="3" t="s">
        <v>44</v>
      </c>
      <c r="D14" s="3">
        <v>120</v>
      </c>
      <c r="E14" s="3">
        <v>35</v>
      </c>
      <c r="F14" s="3" t="s">
        <v>17</v>
      </c>
      <c r="G14" s="3"/>
    </row>
    <row r="15" spans="1:7" ht="15.75" customHeight="1" x14ac:dyDescent="0.25">
      <c r="A15" s="4" t="s">
        <v>45</v>
      </c>
      <c r="B15" s="4" t="s">
        <v>46</v>
      </c>
      <c r="C15" s="4" t="s">
        <v>47</v>
      </c>
      <c r="D15" s="4">
        <v>150</v>
      </c>
      <c r="E15" s="4">
        <v>15</v>
      </c>
      <c r="F15" s="4" t="s">
        <v>9</v>
      </c>
      <c r="G15" s="3"/>
    </row>
    <row r="16" spans="1:7" ht="15.75" customHeight="1" x14ac:dyDescent="0.25">
      <c r="A16" s="3" t="s">
        <v>48</v>
      </c>
      <c r="B16" s="3" t="s">
        <v>26</v>
      </c>
      <c r="C16" s="3" t="s">
        <v>49</v>
      </c>
      <c r="D16" s="3">
        <v>250</v>
      </c>
      <c r="E16" s="3">
        <v>20</v>
      </c>
      <c r="F16" s="3" t="s">
        <v>9</v>
      </c>
      <c r="G16" s="3"/>
    </row>
    <row r="17" spans="1:7" ht="15.75" customHeight="1" x14ac:dyDescent="0.25">
      <c r="A17" s="4" t="s">
        <v>50</v>
      </c>
      <c r="B17" s="4" t="s">
        <v>51</v>
      </c>
      <c r="C17" s="4" t="s">
        <v>52</v>
      </c>
      <c r="D17" s="4">
        <v>50</v>
      </c>
      <c r="E17" s="4">
        <v>35</v>
      </c>
      <c r="F17" s="4" t="s">
        <v>53</v>
      </c>
      <c r="G17" s="3"/>
    </row>
    <row r="18" spans="1:7" ht="15.75" customHeight="1" x14ac:dyDescent="0.25">
      <c r="A18" s="3" t="s">
        <v>54</v>
      </c>
      <c r="B18" s="3" t="s">
        <v>46</v>
      </c>
      <c r="C18" s="3" t="s">
        <v>55</v>
      </c>
      <c r="D18" s="3">
        <v>160</v>
      </c>
      <c r="E18" s="3">
        <v>15</v>
      </c>
      <c r="F18" s="3" t="s">
        <v>9</v>
      </c>
      <c r="G18" s="3"/>
    </row>
    <row r="19" spans="1:7" ht="15.75" customHeight="1" x14ac:dyDescent="0.25">
      <c r="A19" s="4" t="s">
        <v>56</v>
      </c>
      <c r="B19" s="4" t="s">
        <v>7</v>
      </c>
      <c r="C19" s="4" t="s">
        <v>57</v>
      </c>
      <c r="D19" s="4">
        <v>980</v>
      </c>
      <c r="E19" s="4">
        <v>10</v>
      </c>
      <c r="F19" s="4" t="s">
        <v>9</v>
      </c>
      <c r="G19" s="3"/>
    </row>
    <row r="20" spans="1:7" ht="15.75" customHeight="1" x14ac:dyDescent="0.25">
      <c r="A20" s="3" t="s">
        <v>58</v>
      </c>
      <c r="B20" s="3" t="s">
        <v>59</v>
      </c>
      <c r="C20" s="3" t="s">
        <v>60</v>
      </c>
      <c r="D20" s="3">
        <v>150</v>
      </c>
      <c r="E20" s="3">
        <v>15</v>
      </c>
      <c r="F20" s="3" t="s">
        <v>13</v>
      </c>
      <c r="G20" s="3"/>
    </row>
    <row r="21" spans="1:7" ht="15.75" customHeight="1" x14ac:dyDescent="0.25">
      <c r="A21" s="4" t="s">
        <v>61</v>
      </c>
      <c r="B21" s="4" t="s">
        <v>62</v>
      </c>
      <c r="C21" s="4" t="s">
        <v>63</v>
      </c>
      <c r="D21" s="4">
        <v>200</v>
      </c>
      <c r="E21" s="4">
        <v>10</v>
      </c>
      <c r="F21" s="4" t="s">
        <v>24</v>
      </c>
      <c r="G21" s="3"/>
    </row>
    <row r="22" spans="1:7" ht="15.75" customHeight="1" x14ac:dyDescent="0.25">
      <c r="A22" s="3" t="s">
        <v>64</v>
      </c>
      <c r="B22" s="3" t="s">
        <v>65</v>
      </c>
      <c r="C22" s="3" t="s">
        <v>66</v>
      </c>
      <c r="D22" s="3">
        <v>700</v>
      </c>
      <c r="E22" s="3">
        <v>50</v>
      </c>
      <c r="F22" s="3" t="s">
        <v>9</v>
      </c>
      <c r="G22" s="3"/>
    </row>
    <row r="23" spans="1:7" ht="15.75" customHeight="1" x14ac:dyDescent="0.25">
      <c r="A23" s="4" t="s">
        <v>67</v>
      </c>
      <c r="B23" s="4" t="s">
        <v>68</v>
      </c>
      <c r="C23" s="4" t="s">
        <v>69</v>
      </c>
      <c r="D23" s="4">
        <v>80</v>
      </c>
      <c r="E23" s="4">
        <v>20</v>
      </c>
      <c r="F23" s="4" t="s">
        <v>17</v>
      </c>
      <c r="G23" s="3"/>
    </row>
    <row r="24" spans="1:7" ht="15.75" customHeight="1" x14ac:dyDescent="0.25">
      <c r="A24" s="3" t="s">
        <v>70</v>
      </c>
      <c r="B24" s="3" t="s">
        <v>71</v>
      </c>
      <c r="C24" s="3" t="s">
        <v>72</v>
      </c>
      <c r="D24" s="3">
        <v>150</v>
      </c>
      <c r="E24" s="3">
        <v>30</v>
      </c>
      <c r="F24" s="3" t="s">
        <v>9</v>
      </c>
      <c r="G24" s="3"/>
    </row>
    <row r="25" spans="1:7" ht="15.75" customHeight="1" x14ac:dyDescent="0.25">
      <c r="A25" s="4" t="s">
        <v>50</v>
      </c>
      <c r="B25" s="4" t="s">
        <v>51</v>
      </c>
      <c r="C25" s="4" t="s">
        <v>52</v>
      </c>
      <c r="D25" s="4">
        <v>50</v>
      </c>
      <c r="E25" s="4">
        <v>35</v>
      </c>
      <c r="F25" s="4" t="s">
        <v>53</v>
      </c>
      <c r="G25" s="5"/>
    </row>
    <row r="26" spans="1:7" ht="15.75" customHeight="1" x14ac:dyDescent="0.25">
      <c r="A26" s="3" t="s">
        <v>73</v>
      </c>
      <c r="B26" s="3" t="s">
        <v>19</v>
      </c>
      <c r="C26" s="3" t="s">
        <v>74</v>
      </c>
      <c r="D26" s="3">
        <v>800</v>
      </c>
      <c r="E26" s="3">
        <v>45</v>
      </c>
      <c r="F26" s="3" t="s">
        <v>9</v>
      </c>
      <c r="G26" s="3"/>
    </row>
    <row r="27" spans="1:7" ht="15.75" customHeight="1" x14ac:dyDescent="0.25">
      <c r="A27" s="4" t="s">
        <v>75</v>
      </c>
      <c r="B27" s="4" t="s">
        <v>59</v>
      </c>
      <c r="C27" s="4" t="s">
        <v>76</v>
      </c>
      <c r="D27" s="4">
        <v>130</v>
      </c>
      <c r="E27" s="4">
        <v>25</v>
      </c>
      <c r="F27" s="4" t="s">
        <v>13</v>
      </c>
      <c r="G27" s="3"/>
    </row>
    <row r="28" spans="1:7" ht="15.75" customHeight="1" x14ac:dyDescent="0.25">
      <c r="A28" s="3" t="s">
        <v>77</v>
      </c>
      <c r="B28" s="3" t="s">
        <v>32</v>
      </c>
      <c r="C28" s="3" t="s">
        <v>78</v>
      </c>
      <c r="D28" s="3">
        <v>400</v>
      </c>
      <c r="E28" s="3">
        <v>40</v>
      </c>
      <c r="F28" s="3" t="s">
        <v>17</v>
      </c>
      <c r="G28" s="3"/>
    </row>
    <row r="29" spans="1:7" ht="15.75" customHeight="1" x14ac:dyDescent="0.25">
      <c r="A29" s="4" t="s">
        <v>48</v>
      </c>
      <c r="B29" s="4" t="s">
        <v>26</v>
      </c>
      <c r="C29" s="4" t="s">
        <v>49</v>
      </c>
      <c r="D29" s="4">
        <v>230</v>
      </c>
      <c r="E29" s="4">
        <v>20</v>
      </c>
      <c r="F29" s="4" t="s">
        <v>9</v>
      </c>
      <c r="G29" s="5"/>
    </row>
    <row r="30" spans="1:7" ht="15.75" customHeight="1" x14ac:dyDescent="0.25">
      <c r="A30" s="3" t="s">
        <v>79</v>
      </c>
      <c r="B30" s="3" t="s">
        <v>80</v>
      </c>
      <c r="C30" s="3" t="s">
        <v>81</v>
      </c>
      <c r="D30" s="3">
        <v>60</v>
      </c>
      <c r="E30" s="3">
        <v>30</v>
      </c>
      <c r="F30" s="3" t="s">
        <v>13</v>
      </c>
      <c r="G30" s="3"/>
    </row>
    <row r="31" spans="1:7" ht="15.75" customHeight="1" x14ac:dyDescent="0.25">
      <c r="A31" s="4" t="s">
        <v>82</v>
      </c>
      <c r="B31" s="4" t="s">
        <v>83</v>
      </c>
      <c r="C31" s="4" t="s">
        <v>84</v>
      </c>
      <c r="D31" s="4">
        <v>40</v>
      </c>
      <c r="E31" s="4">
        <v>10</v>
      </c>
      <c r="F31" s="4" t="s">
        <v>17</v>
      </c>
      <c r="G31" s="3"/>
    </row>
    <row r="32" spans="1:7" ht="15.75" customHeight="1" x14ac:dyDescent="0.25">
      <c r="A32" s="3" t="s">
        <v>85</v>
      </c>
      <c r="B32" s="3" t="s">
        <v>71</v>
      </c>
      <c r="C32" s="3" t="s">
        <v>86</v>
      </c>
      <c r="D32" s="3">
        <v>130</v>
      </c>
      <c r="E32" s="3">
        <v>5</v>
      </c>
      <c r="F32" s="3" t="s">
        <v>9</v>
      </c>
      <c r="G32" s="3"/>
    </row>
    <row r="33" spans="1:7" ht="15.75" customHeight="1" x14ac:dyDescent="0.25">
      <c r="A33" s="4" t="s">
        <v>87</v>
      </c>
      <c r="B33" s="4" t="s">
        <v>88</v>
      </c>
      <c r="C33" s="4" t="s">
        <v>89</v>
      </c>
      <c r="D33" s="4">
        <v>50</v>
      </c>
      <c r="E33" s="4">
        <v>50</v>
      </c>
      <c r="F33" s="4" t="s">
        <v>13</v>
      </c>
      <c r="G33" s="3"/>
    </row>
    <row r="34" spans="1:7" ht="15.75" customHeight="1" x14ac:dyDescent="0.25">
      <c r="A34" s="3" t="s">
        <v>40</v>
      </c>
      <c r="B34" s="3" t="s">
        <v>7</v>
      </c>
      <c r="C34" s="3" t="s">
        <v>41</v>
      </c>
      <c r="D34" s="3">
        <v>950</v>
      </c>
      <c r="E34" s="3">
        <v>25</v>
      </c>
      <c r="F34" s="3" t="s">
        <v>9</v>
      </c>
      <c r="G34" s="3"/>
    </row>
    <row r="35" spans="1:7" ht="15.75" customHeight="1" x14ac:dyDescent="0.25">
      <c r="A35" s="4" t="s">
        <v>90</v>
      </c>
      <c r="B35" s="4" t="s">
        <v>91</v>
      </c>
      <c r="C35" s="4" t="s">
        <v>92</v>
      </c>
      <c r="D35" s="4">
        <v>100</v>
      </c>
      <c r="E35" s="4">
        <v>20</v>
      </c>
      <c r="F35" s="4" t="s">
        <v>53</v>
      </c>
      <c r="G35" s="3"/>
    </row>
    <row r="36" spans="1:7" ht="15.75" customHeight="1" x14ac:dyDescent="0.25"/>
    <row r="37" spans="1:7" ht="15.75" customHeight="1" x14ac:dyDescent="0.25"/>
    <row r="38" spans="1:7" ht="15.75" customHeight="1" x14ac:dyDescent="0.25"/>
    <row r="39" spans="1:7" ht="15.75" customHeight="1" x14ac:dyDescent="0.25"/>
    <row r="40" spans="1:7" ht="15.75" customHeight="1" x14ac:dyDescent="0.25"/>
    <row r="41" spans="1:7" ht="15.75" customHeight="1" x14ac:dyDescent="0.25"/>
    <row r="42" spans="1:7" ht="15.75" customHeight="1" x14ac:dyDescent="0.25"/>
    <row r="43" spans="1:7" ht="15.75" customHeight="1" x14ac:dyDescent="0.25"/>
    <row r="44" spans="1:7" ht="15.75" customHeight="1" x14ac:dyDescent="0.25"/>
    <row r="45" spans="1:7" ht="15.75" customHeight="1" x14ac:dyDescent="0.25"/>
    <row r="46" spans="1:7" ht="15.75" customHeight="1" x14ac:dyDescent="0.25"/>
    <row r="47" spans="1:7" ht="15.75" customHeight="1" x14ac:dyDescent="0.25"/>
    <row r="48" spans="1: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295B9-E93B-4AD2-84F6-67CA955EB4FC}">
  <dimension ref="A1:Q60"/>
  <sheetViews>
    <sheetView topLeftCell="A16" zoomScale="112" zoomScaleNormal="112" workbookViewId="0">
      <selection sqref="A1:J35"/>
    </sheetView>
  </sheetViews>
  <sheetFormatPr defaultRowHeight="13.2" x14ac:dyDescent="0.25"/>
  <cols>
    <col min="1" max="1" width="12.5546875" customWidth="1"/>
    <col min="2" max="2" width="14.44140625" customWidth="1"/>
    <col min="3" max="3" width="16.44140625" customWidth="1"/>
    <col min="4" max="4" width="16" customWidth="1"/>
    <col min="5" max="5" width="13.6640625" customWidth="1"/>
    <col min="6" max="6" width="12.6640625" style="7" customWidth="1"/>
    <col min="7" max="7" width="14.33203125" style="6" customWidth="1"/>
    <col min="8" max="8" width="11.21875" style="6" customWidth="1"/>
    <col min="9" max="9" width="12.21875" customWidth="1"/>
    <col min="11" max="13" width="8.88671875" customWidth="1"/>
    <col min="15" max="15" width="19.88671875" customWidth="1"/>
  </cols>
  <sheetData>
    <row r="1" spans="1:10" x14ac:dyDescent="0.25">
      <c r="A1" s="1" t="s">
        <v>0</v>
      </c>
      <c r="B1" s="1" t="s">
        <v>1</v>
      </c>
      <c r="C1" s="1" t="s">
        <v>2</v>
      </c>
      <c r="D1" s="1" t="s">
        <v>3</v>
      </c>
      <c r="E1" s="1" t="s">
        <v>4</v>
      </c>
      <c r="F1" s="1" t="s">
        <v>5</v>
      </c>
      <c r="G1" s="1" t="s">
        <v>136</v>
      </c>
      <c r="H1" s="35" t="s">
        <v>159</v>
      </c>
      <c r="I1" s="35" t="s">
        <v>160</v>
      </c>
      <c r="J1" s="35" t="s">
        <v>161</v>
      </c>
    </row>
    <row r="2" spans="1:10" x14ac:dyDescent="0.25">
      <c r="A2" s="3" t="s">
        <v>6</v>
      </c>
      <c r="B2" s="3" t="s">
        <v>7</v>
      </c>
      <c r="C2" s="3" t="s">
        <v>8</v>
      </c>
      <c r="D2" s="32">
        <v>1000</v>
      </c>
      <c r="E2" s="30">
        <v>30</v>
      </c>
      <c r="F2" s="3" t="s">
        <v>9</v>
      </c>
      <c r="G2" t="str">
        <f>IF(D2&gt;500,"High Price","Standard Value")</f>
        <v>High Price</v>
      </c>
      <c r="H2" s="6" t="str" cm="1">
        <f t="array" ref="H2:H35">LEFT(A2:A35,"2")</f>
        <v>28</v>
      </c>
      <c r="I2" s="6" t="str" cm="1">
        <f t="array" ref="I2:I35">RIGHT(A2:A35,2)</f>
        <v>US</v>
      </c>
      <c r="J2" s="6" t="str" cm="1">
        <f t="array" ref="J2:J35">MID(A2:A35,4,3)</f>
        <v>JAN</v>
      </c>
    </row>
    <row r="3" spans="1:10" x14ac:dyDescent="0.25">
      <c r="A3" s="4" t="s">
        <v>10</v>
      </c>
      <c r="B3" s="4" t="s">
        <v>11</v>
      </c>
      <c r="C3" s="4" t="s">
        <v>12</v>
      </c>
      <c r="D3" s="33">
        <v>80</v>
      </c>
      <c r="E3" s="31">
        <v>15</v>
      </c>
      <c r="F3" s="4" t="s">
        <v>13</v>
      </c>
      <c r="G3" t="str">
        <f t="shared" ref="G3:G35" si="0">IF(D3&gt;500,"High Price","Standard Value")</f>
        <v>Standard Value</v>
      </c>
      <c r="H3" s="6" t="str">
        <v>15</v>
      </c>
      <c r="I3" s="6" t="str">
        <v>US</v>
      </c>
      <c r="J3" s="6" t="str">
        <v>FEB</v>
      </c>
    </row>
    <row r="4" spans="1:10" x14ac:dyDescent="0.25">
      <c r="A4" s="3" t="s">
        <v>14</v>
      </c>
      <c r="B4" s="3" t="s">
        <v>15</v>
      </c>
      <c r="C4" s="3" t="s">
        <v>16</v>
      </c>
      <c r="D4" s="32">
        <v>130</v>
      </c>
      <c r="E4" s="30">
        <v>40</v>
      </c>
      <c r="F4" s="3" t="s">
        <v>17</v>
      </c>
      <c r="G4" t="str">
        <f t="shared" si="0"/>
        <v>Standard Value</v>
      </c>
      <c r="H4" s="6" t="str">
        <v>03</v>
      </c>
      <c r="I4" s="6" t="str">
        <v>US</v>
      </c>
      <c r="J4" s="6" t="str">
        <v>MAR</v>
      </c>
    </row>
    <row r="5" spans="1:10" x14ac:dyDescent="0.25">
      <c r="A5" s="4" t="s">
        <v>18</v>
      </c>
      <c r="B5" s="4" t="s">
        <v>19</v>
      </c>
      <c r="C5" s="4" t="s">
        <v>20</v>
      </c>
      <c r="D5" s="33">
        <v>900</v>
      </c>
      <c r="E5" s="31">
        <v>25</v>
      </c>
      <c r="F5" s="4" t="s">
        <v>9</v>
      </c>
      <c r="G5" t="str">
        <f t="shared" si="0"/>
        <v>High Price</v>
      </c>
      <c r="H5" s="6" t="str">
        <v>11</v>
      </c>
      <c r="I5" s="6" t="str">
        <v>US</v>
      </c>
      <c r="J5" s="6" t="str">
        <v>APR</v>
      </c>
    </row>
    <row r="6" spans="1:10" x14ac:dyDescent="0.25">
      <c r="A6" s="3" t="s">
        <v>21</v>
      </c>
      <c r="B6" s="3" t="s">
        <v>22</v>
      </c>
      <c r="C6" s="3" t="s">
        <v>23</v>
      </c>
      <c r="D6" s="32">
        <v>70</v>
      </c>
      <c r="E6" s="30">
        <v>20</v>
      </c>
      <c r="F6" s="3" t="s">
        <v>24</v>
      </c>
      <c r="G6" t="str">
        <f t="shared" si="0"/>
        <v>Standard Value</v>
      </c>
      <c r="H6" s="6" t="str">
        <v>22</v>
      </c>
      <c r="I6" s="6" t="str">
        <v>US</v>
      </c>
      <c r="J6" s="6" t="str">
        <v>MAY</v>
      </c>
    </row>
    <row r="7" spans="1:10" x14ac:dyDescent="0.25">
      <c r="A7" s="4" t="s">
        <v>25</v>
      </c>
      <c r="B7" s="4" t="s">
        <v>26</v>
      </c>
      <c r="C7" s="4" t="s">
        <v>27</v>
      </c>
      <c r="D7" s="33">
        <v>200</v>
      </c>
      <c r="E7" s="31">
        <v>45</v>
      </c>
      <c r="F7" s="4" t="s">
        <v>9</v>
      </c>
      <c r="G7" t="str">
        <f t="shared" si="0"/>
        <v>Standard Value</v>
      </c>
      <c r="H7" s="6" t="str">
        <v>07</v>
      </c>
      <c r="I7" s="6" t="str">
        <v>UK</v>
      </c>
      <c r="J7" s="6" t="str">
        <v>JUN</v>
      </c>
    </row>
    <row r="8" spans="1:10" x14ac:dyDescent="0.25">
      <c r="A8" s="3" t="s">
        <v>28</v>
      </c>
      <c r="B8" s="3" t="s">
        <v>29</v>
      </c>
      <c r="C8" s="3" t="s">
        <v>30</v>
      </c>
      <c r="D8" s="32">
        <v>30</v>
      </c>
      <c r="E8" s="30">
        <v>5</v>
      </c>
      <c r="F8" s="3" t="s">
        <v>13</v>
      </c>
      <c r="G8" t="str">
        <f t="shared" si="0"/>
        <v>Standard Value</v>
      </c>
      <c r="H8" s="6" t="str">
        <v>19</v>
      </c>
      <c r="I8" s="6" t="str">
        <v>UK</v>
      </c>
      <c r="J8" s="6" t="str">
        <v>JUL</v>
      </c>
    </row>
    <row r="9" spans="1:10" x14ac:dyDescent="0.25">
      <c r="A9" s="4" t="s">
        <v>31</v>
      </c>
      <c r="B9" s="4" t="s">
        <v>32</v>
      </c>
      <c r="C9" s="4" t="s">
        <v>33</v>
      </c>
      <c r="D9" s="33">
        <v>90</v>
      </c>
      <c r="E9" s="31">
        <v>35</v>
      </c>
      <c r="F9" s="4" t="s">
        <v>17</v>
      </c>
      <c r="G9" t="str">
        <f t="shared" si="0"/>
        <v>Standard Value</v>
      </c>
      <c r="H9" s="6" t="str">
        <v>23</v>
      </c>
      <c r="I9" s="6" t="str">
        <v>UK</v>
      </c>
      <c r="J9" s="6" t="str">
        <v>AUG</v>
      </c>
    </row>
    <row r="10" spans="1:10" x14ac:dyDescent="0.25">
      <c r="A10" s="3" t="s">
        <v>34</v>
      </c>
      <c r="B10" s="3" t="s">
        <v>35</v>
      </c>
      <c r="C10" s="3" t="s">
        <v>36</v>
      </c>
      <c r="D10" s="32">
        <v>500</v>
      </c>
      <c r="E10" s="30">
        <v>50</v>
      </c>
      <c r="F10" s="3" t="s">
        <v>9</v>
      </c>
      <c r="G10" t="str">
        <f t="shared" si="0"/>
        <v>Standard Value</v>
      </c>
      <c r="H10" s="6" t="str">
        <v>05</v>
      </c>
      <c r="I10" s="6" t="str">
        <v>UK</v>
      </c>
      <c r="J10" s="6" t="str">
        <v>SEP</v>
      </c>
    </row>
    <row r="11" spans="1:10" x14ac:dyDescent="0.25">
      <c r="A11" s="4" t="s">
        <v>37</v>
      </c>
      <c r="B11" s="4" t="s">
        <v>38</v>
      </c>
      <c r="C11" s="4" t="s">
        <v>39</v>
      </c>
      <c r="D11" s="33">
        <v>130</v>
      </c>
      <c r="E11" s="31">
        <v>10</v>
      </c>
      <c r="F11" s="4" t="s">
        <v>24</v>
      </c>
      <c r="G11" t="str">
        <f t="shared" si="0"/>
        <v>Standard Value</v>
      </c>
      <c r="H11" s="6" t="str">
        <v>14</v>
      </c>
      <c r="I11" s="6" t="str">
        <v>UK</v>
      </c>
      <c r="J11" s="6" t="str">
        <v>OCT</v>
      </c>
    </row>
    <row r="12" spans="1:10" x14ac:dyDescent="0.25">
      <c r="A12" s="3" t="s">
        <v>40</v>
      </c>
      <c r="B12" s="3" t="s">
        <v>7</v>
      </c>
      <c r="C12" s="3" t="s">
        <v>41</v>
      </c>
      <c r="D12" s="32">
        <v>950</v>
      </c>
      <c r="E12" s="30">
        <v>25</v>
      </c>
      <c r="F12" s="3" t="s">
        <v>9</v>
      </c>
      <c r="G12" t="str">
        <f t="shared" si="0"/>
        <v>High Price</v>
      </c>
      <c r="H12" s="6" t="str">
        <v>17</v>
      </c>
      <c r="I12" s="6" t="str">
        <v>IN</v>
      </c>
      <c r="J12" s="6" t="str">
        <v>JUN</v>
      </c>
    </row>
    <row r="13" spans="1:10" x14ac:dyDescent="0.25">
      <c r="A13" s="4" t="s">
        <v>42</v>
      </c>
      <c r="B13" s="4" t="s">
        <v>11</v>
      </c>
      <c r="C13" s="4" t="s">
        <v>30</v>
      </c>
      <c r="D13" s="33">
        <v>90</v>
      </c>
      <c r="E13" s="31">
        <v>40</v>
      </c>
      <c r="F13" s="4" t="s">
        <v>13</v>
      </c>
      <c r="G13" t="str">
        <f t="shared" si="0"/>
        <v>Standard Value</v>
      </c>
      <c r="H13" s="6" t="str">
        <v>25</v>
      </c>
      <c r="I13" s="6" t="str">
        <v>AU</v>
      </c>
      <c r="J13" s="6" t="str">
        <v>NOV</v>
      </c>
    </row>
    <row r="14" spans="1:10" x14ac:dyDescent="0.25">
      <c r="A14" s="3" t="s">
        <v>43</v>
      </c>
      <c r="B14" s="3" t="s">
        <v>15</v>
      </c>
      <c r="C14" s="3" t="s">
        <v>44</v>
      </c>
      <c r="D14" s="32">
        <v>120</v>
      </c>
      <c r="E14" s="30">
        <v>35</v>
      </c>
      <c r="F14" s="3" t="s">
        <v>17</v>
      </c>
      <c r="G14" t="str">
        <f t="shared" si="0"/>
        <v>Standard Value</v>
      </c>
      <c r="H14" s="6" t="str">
        <v>08</v>
      </c>
      <c r="I14" s="6" t="str">
        <v>DE</v>
      </c>
      <c r="J14" s="6" t="str">
        <v>DEC</v>
      </c>
    </row>
    <row r="15" spans="1:10" x14ac:dyDescent="0.25">
      <c r="A15" s="4" t="s">
        <v>45</v>
      </c>
      <c r="B15" s="4" t="s">
        <v>46</v>
      </c>
      <c r="C15" s="4" t="s">
        <v>47</v>
      </c>
      <c r="D15" s="33">
        <v>150</v>
      </c>
      <c r="E15" s="31">
        <v>15</v>
      </c>
      <c r="F15" s="4" t="s">
        <v>9</v>
      </c>
      <c r="G15" t="str">
        <f t="shared" si="0"/>
        <v>Standard Value</v>
      </c>
      <c r="H15" s="6" t="str">
        <v>18</v>
      </c>
      <c r="I15" s="6" t="str">
        <v>CA</v>
      </c>
      <c r="J15" s="6" t="str">
        <v>FEB</v>
      </c>
    </row>
    <row r="16" spans="1:10" x14ac:dyDescent="0.25">
      <c r="A16" s="3" t="s">
        <v>48</v>
      </c>
      <c r="B16" s="3" t="s">
        <v>26</v>
      </c>
      <c r="C16" s="3" t="s">
        <v>49</v>
      </c>
      <c r="D16" s="32">
        <v>250</v>
      </c>
      <c r="E16" s="30">
        <v>20</v>
      </c>
      <c r="F16" s="3" t="s">
        <v>9</v>
      </c>
      <c r="G16" t="str">
        <f t="shared" si="0"/>
        <v>Standard Value</v>
      </c>
      <c r="H16" s="6" t="str">
        <v>16</v>
      </c>
      <c r="I16" s="6" t="str">
        <v>ES</v>
      </c>
      <c r="J16" s="6" t="str">
        <v>APR</v>
      </c>
    </row>
    <row r="17" spans="1:10" x14ac:dyDescent="0.25">
      <c r="A17" s="4" t="s">
        <v>50</v>
      </c>
      <c r="B17" s="4" t="s">
        <v>51</v>
      </c>
      <c r="C17" s="4" t="s">
        <v>52</v>
      </c>
      <c r="D17" s="33">
        <v>50</v>
      </c>
      <c r="E17" s="31">
        <v>35</v>
      </c>
      <c r="F17" s="4" t="s">
        <v>53</v>
      </c>
      <c r="G17" t="str">
        <f t="shared" si="0"/>
        <v>Standard Value</v>
      </c>
      <c r="H17" s="6" t="str">
        <v>21</v>
      </c>
      <c r="I17" s="6" t="str">
        <v>CA</v>
      </c>
      <c r="J17" s="6" t="str">
        <v>AUG</v>
      </c>
    </row>
    <row r="18" spans="1:10" x14ac:dyDescent="0.25">
      <c r="A18" s="3" t="s">
        <v>54</v>
      </c>
      <c r="B18" s="3" t="s">
        <v>46</v>
      </c>
      <c r="C18" s="3" t="s">
        <v>55</v>
      </c>
      <c r="D18" s="32">
        <v>160</v>
      </c>
      <c r="E18" s="30">
        <v>15</v>
      </c>
      <c r="F18" s="3" t="s">
        <v>9</v>
      </c>
      <c r="G18" t="str">
        <f t="shared" si="0"/>
        <v>Standard Value</v>
      </c>
      <c r="H18" s="6" t="str">
        <v>20</v>
      </c>
      <c r="I18" s="6" t="str">
        <v>CN</v>
      </c>
      <c r="J18" s="6" t="str">
        <v>AUG</v>
      </c>
    </row>
    <row r="19" spans="1:10" x14ac:dyDescent="0.25">
      <c r="A19" s="4" t="s">
        <v>56</v>
      </c>
      <c r="B19" s="4" t="s">
        <v>7</v>
      </c>
      <c r="C19" s="4" t="s">
        <v>57</v>
      </c>
      <c r="D19" s="33">
        <v>980</v>
      </c>
      <c r="E19" s="31">
        <v>10</v>
      </c>
      <c r="F19" s="4" t="s">
        <v>9</v>
      </c>
      <c r="G19" t="str">
        <f t="shared" si="0"/>
        <v>High Price</v>
      </c>
      <c r="H19" s="6" t="str">
        <v>27</v>
      </c>
      <c r="I19" s="6" t="str">
        <v>IT</v>
      </c>
      <c r="J19" s="6" t="str">
        <v>JAN</v>
      </c>
    </row>
    <row r="20" spans="1:10" x14ac:dyDescent="0.25">
      <c r="A20" s="3" t="s">
        <v>58</v>
      </c>
      <c r="B20" s="3" t="s">
        <v>59</v>
      </c>
      <c r="C20" s="3" t="s">
        <v>60</v>
      </c>
      <c r="D20" s="32">
        <v>150</v>
      </c>
      <c r="E20" s="30">
        <v>15</v>
      </c>
      <c r="F20" s="3" t="s">
        <v>13</v>
      </c>
      <c r="G20" t="str">
        <f t="shared" si="0"/>
        <v>Standard Value</v>
      </c>
      <c r="H20" s="6" t="str">
        <v>01</v>
      </c>
      <c r="I20" s="6" t="str">
        <v>UK</v>
      </c>
      <c r="J20" s="6" t="str">
        <v>MAR</v>
      </c>
    </row>
    <row r="21" spans="1:10" x14ac:dyDescent="0.25">
      <c r="A21" s="4" t="s">
        <v>61</v>
      </c>
      <c r="B21" s="4" t="s">
        <v>62</v>
      </c>
      <c r="C21" s="4" t="s">
        <v>63</v>
      </c>
      <c r="D21" s="33">
        <v>200</v>
      </c>
      <c r="E21" s="31">
        <v>10</v>
      </c>
      <c r="F21" s="4" t="s">
        <v>24</v>
      </c>
      <c r="G21" t="str">
        <f t="shared" si="0"/>
        <v>Standard Value</v>
      </c>
      <c r="H21" s="6" t="str">
        <v>14</v>
      </c>
      <c r="I21" s="6" t="str">
        <v>US</v>
      </c>
      <c r="J21" s="6" t="str">
        <v>AUG</v>
      </c>
    </row>
    <row r="22" spans="1:10" x14ac:dyDescent="0.25">
      <c r="A22" s="3" t="s">
        <v>64</v>
      </c>
      <c r="B22" s="3" t="s">
        <v>65</v>
      </c>
      <c r="C22" s="3" t="s">
        <v>66</v>
      </c>
      <c r="D22" s="32">
        <v>700</v>
      </c>
      <c r="E22" s="30">
        <v>50</v>
      </c>
      <c r="F22" s="3" t="s">
        <v>9</v>
      </c>
      <c r="G22" t="str">
        <f t="shared" si="0"/>
        <v>High Price</v>
      </c>
      <c r="H22" s="6" t="str">
        <v>14</v>
      </c>
      <c r="I22" s="6" t="str">
        <v>RU</v>
      </c>
      <c r="J22" s="6" t="str">
        <v>MAY</v>
      </c>
    </row>
    <row r="23" spans="1:10" x14ac:dyDescent="0.25">
      <c r="A23" s="4" t="s">
        <v>67</v>
      </c>
      <c r="B23" s="4" t="s">
        <v>68</v>
      </c>
      <c r="C23" s="4" t="s">
        <v>69</v>
      </c>
      <c r="D23" s="33">
        <v>80</v>
      </c>
      <c r="E23" s="31">
        <v>20</v>
      </c>
      <c r="F23" s="4" t="s">
        <v>17</v>
      </c>
      <c r="G23" t="str">
        <f t="shared" si="0"/>
        <v>Standard Value</v>
      </c>
      <c r="H23" s="6" t="str">
        <v>09</v>
      </c>
      <c r="I23" s="6" t="str">
        <v>CA</v>
      </c>
      <c r="J23" s="6" t="str">
        <v>JAN</v>
      </c>
    </row>
    <row r="24" spans="1:10" x14ac:dyDescent="0.25">
      <c r="A24" s="3" t="s">
        <v>70</v>
      </c>
      <c r="B24" s="3" t="s">
        <v>71</v>
      </c>
      <c r="C24" s="3" t="s">
        <v>72</v>
      </c>
      <c r="D24" s="32">
        <v>150</v>
      </c>
      <c r="E24" s="30">
        <v>30</v>
      </c>
      <c r="F24" s="3" t="s">
        <v>9</v>
      </c>
      <c r="G24" t="str">
        <f t="shared" si="0"/>
        <v>Standard Value</v>
      </c>
      <c r="H24" s="6" t="str">
        <v>19</v>
      </c>
      <c r="I24" s="6" t="str">
        <v>BR</v>
      </c>
      <c r="J24" s="6" t="str">
        <v>JUL</v>
      </c>
    </row>
    <row r="25" spans="1:10" x14ac:dyDescent="0.25">
      <c r="A25" s="4" t="s">
        <v>50</v>
      </c>
      <c r="B25" s="4" t="s">
        <v>51</v>
      </c>
      <c r="C25" s="4" t="s">
        <v>52</v>
      </c>
      <c r="D25" s="33">
        <v>50</v>
      </c>
      <c r="E25" s="31">
        <v>35</v>
      </c>
      <c r="F25" s="4" t="s">
        <v>53</v>
      </c>
      <c r="G25" t="str">
        <f t="shared" si="0"/>
        <v>Standard Value</v>
      </c>
      <c r="H25" s="6" t="str">
        <v>21</v>
      </c>
      <c r="I25" s="6" t="str">
        <v>CA</v>
      </c>
      <c r="J25" s="6" t="str">
        <v>AUG</v>
      </c>
    </row>
    <row r="26" spans="1:10" x14ac:dyDescent="0.25">
      <c r="A26" s="3" t="s">
        <v>73</v>
      </c>
      <c r="B26" s="3" t="s">
        <v>19</v>
      </c>
      <c r="C26" s="3" t="s">
        <v>74</v>
      </c>
      <c r="D26" s="32">
        <v>800</v>
      </c>
      <c r="E26" s="30">
        <v>45</v>
      </c>
      <c r="F26" s="3" t="s">
        <v>9</v>
      </c>
      <c r="G26" t="str">
        <f t="shared" si="0"/>
        <v>High Price</v>
      </c>
      <c r="H26" s="6" t="str">
        <v>29</v>
      </c>
      <c r="I26" s="6" t="str">
        <v>CA</v>
      </c>
      <c r="J26" s="6" t="str">
        <v>SEP</v>
      </c>
    </row>
    <row r="27" spans="1:10" x14ac:dyDescent="0.25">
      <c r="A27" s="4" t="s">
        <v>75</v>
      </c>
      <c r="B27" s="4" t="s">
        <v>59</v>
      </c>
      <c r="C27" s="4" t="s">
        <v>76</v>
      </c>
      <c r="D27" s="33">
        <v>130</v>
      </c>
      <c r="E27" s="31">
        <v>25</v>
      </c>
      <c r="F27" s="4" t="s">
        <v>13</v>
      </c>
      <c r="G27" t="str">
        <f t="shared" si="0"/>
        <v>Standard Value</v>
      </c>
      <c r="H27" s="6" t="str">
        <v>03</v>
      </c>
      <c r="I27" s="6" t="str">
        <v>CA</v>
      </c>
      <c r="J27" s="6" t="str">
        <v>JUN</v>
      </c>
    </row>
    <row r="28" spans="1:10" x14ac:dyDescent="0.25">
      <c r="A28" s="3" t="s">
        <v>77</v>
      </c>
      <c r="B28" s="3" t="s">
        <v>32</v>
      </c>
      <c r="C28" s="3" t="s">
        <v>78</v>
      </c>
      <c r="D28" s="32">
        <v>400</v>
      </c>
      <c r="E28" s="30">
        <v>40</v>
      </c>
      <c r="F28" s="3" t="s">
        <v>17</v>
      </c>
      <c r="G28" t="str">
        <f t="shared" si="0"/>
        <v>Standard Value</v>
      </c>
      <c r="H28" s="6" t="str">
        <v>11</v>
      </c>
      <c r="I28" s="6" t="str">
        <v>CA</v>
      </c>
      <c r="J28" s="6" t="str">
        <v>JUL</v>
      </c>
    </row>
    <row r="29" spans="1:10" x14ac:dyDescent="0.25">
      <c r="A29" s="4" t="s">
        <v>48</v>
      </c>
      <c r="B29" s="4" t="s">
        <v>26</v>
      </c>
      <c r="C29" s="4" t="s">
        <v>49</v>
      </c>
      <c r="D29" s="33">
        <v>230</v>
      </c>
      <c r="E29" s="31">
        <v>20</v>
      </c>
      <c r="F29" s="4" t="s">
        <v>9</v>
      </c>
      <c r="G29" t="str">
        <f t="shared" si="0"/>
        <v>Standard Value</v>
      </c>
      <c r="H29" s="6" t="str">
        <v>16</v>
      </c>
      <c r="I29" s="6" t="str">
        <v>ES</v>
      </c>
      <c r="J29" s="6" t="str">
        <v>APR</v>
      </c>
    </row>
    <row r="30" spans="1:10" x14ac:dyDescent="0.25">
      <c r="A30" s="3" t="s">
        <v>79</v>
      </c>
      <c r="B30" s="3" t="s">
        <v>80</v>
      </c>
      <c r="C30" s="3" t="s">
        <v>81</v>
      </c>
      <c r="D30" s="32">
        <v>60</v>
      </c>
      <c r="E30" s="30">
        <v>30</v>
      </c>
      <c r="F30" s="3" t="s">
        <v>13</v>
      </c>
      <c r="G30" t="str">
        <f t="shared" si="0"/>
        <v>Standard Value</v>
      </c>
      <c r="H30" s="6" t="str">
        <v>07</v>
      </c>
      <c r="I30" s="6" t="str">
        <v>CA</v>
      </c>
      <c r="J30" s="6" t="str">
        <v>MAR</v>
      </c>
    </row>
    <row r="31" spans="1:10" x14ac:dyDescent="0.25">
      <c r="A31" s="4" t="s">
        <v>82</v>
      </c>
      <c r="B31" s="4" t="s">
        <v>83</v>
      </c>
      <c r="C31" s="4" t="s">
        <v>84</v>
      </c>
      <c r="D31" s="33">
        <v>40</v>
      </c>
      <c r="E31" s="31">
        <v>10</v>
      </c>
      <c r="F31" s="4" t="s">
        <v>17</v>
      </c>
      <c r="G31" t="str">
        <f t="shared" si="0"/>
        <v>Standard Value</v>
      </c>
      <c r="H31" s="6" t="str">
        <v>13</v>
      </c>
      <c r="I31" s="6" t="str">
        <v>CA</v>
      </c>
      <c r="J31" s="6" t="str">
        <v>APR</v>
      </c>
    </row>
    <row r="32" spans="1:10" x14ac:dyDescent="0.25">
      <c r="A32" s="3" t="s">
        <v>85</v>
      </c>
      <c r="B32" s="3" t="s">
        <v>71</v>
      </c>
      <c r="C32" s="3" t="s">
        <v>86</v>
      </c>
      <c r="D32" s="32">
        <v>130</v>
      </c>
      <c r="E32" s="30">
        <v>5</v>
      </c>
      <c r="F32" s="3" t="s">
        <v>9</v>
      </c>
      <c r="G32" t="str">
        <f t="shared" si="0"/>
        <v>Standard Value</v>
      </c>
      <c r="H32" s="6" t="str">
        <v>24</v>
      </c>
      <c r="I32" s="6" t="str">
        <v>CA</v>
      </c>
      <c r="J32" s="6" t="str">
        <v>MAY</v>
      </c>
    </row>
    <row r="33" spans="1:17" x14ac:dyDescent="0.25">
      <c r="A33" s="4" t="s">
        <v>87</v>
      </c>
      <c r="B33" s="4" t="s">
        <v>88</v>
      </c>
      <c r="C33" s="4" t="s">
        <v>89</v>
      </c>
      <c r="D33" s="33">
        <v>50</v>
      </c>
      <c r="E33" s="31">
        <v>50</v>
      </c>
      <c r="F33" s="4" t="s">
        <v>13</v>
      </c>
      <c r="G33" t="str">
        <f t="shared" si="0"/>
        <v>Standard Value</v>
      </c>
      <c r="H33" s="6" t="str">
        <v>02</v>
      </c>
      <c r="I33" s="6" t="str">
        <v>CA</v>
      </c>
      <c r="J33" s="6" t="str">
        <v>DEC</v>
      </c>
    </row>
    <row r="34" spans="1:17" x14ac:dyDescent="0.25">
      <c r="A34" s="3" t="s">
        <v>40</v>
      </c>
      <c r="B34" s="3" t="s">
        <v>7</v>
      </c>
      <c r="C34" s="3" t="s">
        <v>41</v>
      </c>
      <c r="D34" s="32">
        <v>950</v>
      </c>
      <c r="E34" s="30">
        <v>25</v>
      </c>
      <c r="F34" s="3" t="s">
        <v>9</v>
      </c>
      <c r="G34" t="str">
        <f t="shared" si="0"/>
        <v>High Price</v>
      </c>
      <c r="H34" s="6" t="str">
        <v>17</v>
      </c>
      <c r="I34" s="6" t="str">
        <v>IN</v>
      </c>
      <c r="J34" s="6" t="str">
        <v>JUN</v>
      </c>
    </row>
    <row r="35" spans="1:17" x14ac:dyDescent="0.25">
      <c r="A35" s="4" t="s">
        <v>90</v>
      </c>
      <c r="B35" s="4" t="s">
        <v>91</v>
      </c>
      <c r="C35" s="4" t="s">
        <v>92</v>
      </c>
      <c r="D35" s="33">
        <v>100</v>
      </c>
      <c r="E35" s="31">
        <v>20</v>
      </c>
      <c r="F35" s="4" t="s">
        <v>53</v>
      </c>
      <c r="G35" t="str">
        <f t="shared" si="0"/>
        <v>Standard Value</v>
      </c>
      <c r="H35" s="6" t="str">
        <v>09</v>
      </c>
      <c r="I35" s="6" t="str">
        <v>FR</v>
      </c>
      <c r="J35" s="6" t="str">
        <v>JUL</v>
      </c>
    </row>
    <row r="37" spans="1:17" x14ac:dyDescent="0.25">
      <c r="G37" s="26"/>
    </row>
    <row r="39" spans="1:17" ht="18.600000000000001" x14ac:dyDescent="0.45">
      <c r="A39" s="36"/>
      <c r="B39" s="36"/>
      <c r="C39" s="36"/>
      <c r="D39" s="36"/>
      <c r="E39" s="36"/>
      <c r="F39" s="37"/>
      <c r="G39" s="38"/>
      <c r="H39" s="38"/>
      <c r="I39" s="36"/>
      <c r="M39" s="45"/>
      <c r="N39" s="45"/>
      <c r="O39" s="45"/>
    </row>
    <row r="40" spans="1:17" ht="18.600000000000001" x14ac:dyDescent="0.45">
      <c r="A40" s="46" t="s">
        <v>132</v>
      </c>
      <c r="B40" s="46"/>
      <c r="C40" s="46"/>
      <c r="D40" s="46"/>
      <c r="E40" s="46"/>
      <c r="F40" s="46"/>
      <c r="G40" s="46"/>
      <c r="H40" s="46"/>
      <c r="I40" s="46"/>
      <c r="M40" s="27"/>
      <c r="N40" s="28"/>
      <c r="O40" s="28"/>
    </row>
    <row r="41" spans="1:17" ht="13.8" customHeight="1" x14ac:dyDescent="0.25">
      <c r="A41" s="39" t="s">
        <v>135</v>
      </c>
      <c r="B41" s="47" t="s">
        <v>133</v>
      </c>
      <c r="C41" s="47"/>
      <c r="D41" s="47"/>
      <c r="E41" s="47"/>
      <c r="F41" s="47" t="s">
        <v>134</v>
      </c>
      <c r="G41" s="47"/>
      <c r="H41" s="47"/>
      <c r="I41" s="47"/>
      <c r="J41" s="6"/>
      <c r="O41" s="25"/>
      <c r="P41" s="13"/>
      <c r="Q41" s="25"/>
    </row>
    <row r="42" spans="1:17" ht="13.8" customHeight="1" x14ac:dyDescent="0.25">
      <c r="A42" s="39">
        <v>1</v>
      </c>
      <c r="B42" s="44" t="s">
        <v>144</v>
      </c>
      <c r="C42" s="44"/>
      <c r="D42" s="44"/>
      <c r="E42" s="44"/>
      <c r="F42" s="48">
        <f>SUM(D2:D35)</f>
        <v>10100</v>
      </c>
      <c r="G42" s="48"/>
      <c r="H42" s="48"/>
      <c r="I42" s="48"/>
      <c r="J42" s="6"/>
      <c r="K42" s="6"/>
      <c r="L42" s="6"/>
      <c r="M42" s="25"/>
      <c r="N42" s="13"/>
      <c r="O42" s="25"/>
    </row>
    <row r="43" spans="1:17" ht="13.8" customHeight="1" x14ac:dyDescent="0.25">
      <c r="A43" s="39">
        <v>2</v>
      </c>
      <c r="B43" s="44" t="s">
        <v>168</v>
      </c>
      <c r="C43" s="44"/>
      <c r="D43" s="44"/>
      <c r="E43" s="44"/>
      <c r="F43" s="47">
        <f>COUNTA(B2:B35)</f>
        <v>34</v>
      </c>
      <c r="G43" s="47"/>
      <c r="H43" s="47"/>
      <c r="I43" s="47"/>
      <c r="J43" s="6"/>
      <c r="K43" s="6"/>
      <c r="L43" s="6"/>
      <c r="M43" s="25"/>
      <c r="N43" s="13"/>
      <c r="O43" s="29"/>
    </row>
    <row r="44" spans="1:17" ht="13.8" x14ac:dyDescent="0.25">
      <c r="A44" s="39">
        <v>3</v>
      </c>
      <c r="B44" s="44" t="s">
        <v>145</v>
      </c>
      <c r="C44" s="44"/>
      <c r="D44" s="44"/>
      <c r="E44" s="44"/>
      <c r="F44" s="49">
        <f>AVERAGE(D2:D35)</f>
        <v>297.05882352941177</v>
      </c>
      <c r="G44" s="49"/>
      <c r="H44" s="49"/>
      <c r="I44" s="49"/>
      <c r="J44" s="6"/>
      <c r="K44" s="6"/>
      <c r="L44" s="6"/>
      <c r="M44" s="25"/>
      <c r="O44" s="25"/>
    </row>
    <row r="45" spans="1:17" ht="13.8" x14ac:dyDescent="0.25">
      <c r="A45" s="39">
        <v>4</v>
      </c>
      <c r="B45" s="44" t="s">
        <v>148</v>
      </c>
      <c r="C45" s="44"/>
      <c r="D45" s="44"/>
      <c r="E45" s="44"/>
      <c r="F45" s="47">
        <f>MIN(D2:D35)</f>
        <v>30</v>
      </c>
      <c r="G45" s="47"/>
      <c r="H45" s="47"/>
      <c r="I45" s="47"/>
      <c r="J45" s="6"/>
      <c r="K45" s="6"/>
      <c r="L45" s="6"/>
      <c r="M45" s="25"/>
      <c r="O45" s="25"/>
    </row>
    <row r="46" spans="1:17" ht="13.8" x14ac:dyDescent="0.25">
      <c r="A46" s="39">
        <v>5</v>
      </c>
      <c r="B46" s="44" t="s">
        <v>146</v>
      </c>
      <c r="C46" s="44"/>
      <c r="D46" s="44"/>
      <c r="E46" s="44"/>
      <c r="F46" s="47">
        <f>MAX(D2:D35)</f>
        <v>1000</v>
      </c>
      <c r="G46" s="47"/>
      <c r="H46" s="47"/>
      <c r="I46" s="47"/>
      <c r="J46" s="6"/>
      <c r="K46" s="6"/>
      <c r="L46" s="6"/>
      <c r="M46" s="25"/>
    </row>
    <row r="47" spans="1:17" ht="13.8" x14ac:dyDescent="0.25">
      <c r="A47" s="39">
        <v>6</v>
      </c>
      <c r="B47" s="44" t="s">
        <v>147</v>
      </c>
      <c r="C47" s="44"/>
      <c r="D47" s="44"/>
      <c r="E47" s="44"/>
      <c r="F47" s="47" t="s">
        <v>143</v>
      </c>
      <c r="G47" s="47"/>
      <c r="H47" s="47"/>
      <c r="I47" s="47"/>
      <c r="M47" s="25"/>
      <c r="O47" s="25"/>
    </row>
    <row r="48" spans="1:17" ht="13.8" x14ac:dyDescent="0.25">
      <c r="A48" s="39">
        <v>7</v>
      </c>
      <c r="B48" s="44" t="s">
        <v>180</v>
      </c>
      <c r="C48" s="44"/>
      <c r="D48" s="44"/>
      <c r="E48" s="44"/>
      <c r="F48" s="47" t="s">
        <v>137</v>
      </c>
      <c r="G48" s="47"/>
      <c r="H48" s="47"/>
      <c r="I48" s="47"/>
      <c r="M48" s="25"/>
    </row>
    <row r="49" spans="1:13" ht="13.8" x14ac:dyDescent="0.25">
      <c r="A49" s="39">
        <v>8</v>
      </c>
      <c r="B49" s="44" t="s">
        <v>181</v>
      </c>
      <c r="C49" s="44"/>
      <c r="D49" s="44"/>
      <c r="E49" s="44"/>
      <c r="F49" s="47" t="s">
        <v>137</v>
      </c>
      <c r="G49" s="47"/>
      <c r="H49" s="47"/>
      <c r="I49" s="47"/>
      <c r="M49" s="25"/>
    </row>
    <row r="50" spans="1:13" ht="13.8" x14ac:dyDescent="0.25">
      <c r="A50" s="39">
        <v>9</v>
      </c>
      <c r="B50" s="52" t="s">
        <v>165</v>
      </c>
      <c r="C50" s="53"/>
      <c r="D50" s="53"/>
      <c r="E50" s="54"/>
      <c r="F50" s="47">
        <f>SUMIF(F2:F35,"Electronics",D2:D35)</f>
        <v>8050</v>
      </c>
      <c r="G50" s="47"/>
      <c r="H50" s="47"/>
      <c r="I50" s="47"/>
      <c r="M50" s="25"/>
    </row>
    <row r="51" spans="1:13" ht="13.8" x14ac:dyDescent="0.25">
      <c r="A51" s="39">
        <v>10</v>
      </c>
      <c r="B51" s="52" t="s">
        <v>166</v>
      </c>
      <c r="C51" s="53"/>
      <c r="D51" s="53"/>
      <c r="E51" s="54"/>
      <c r="F51" s="47">
        <f>COUNTIF(D2:D35,"&lt;100")</f>
        <v>11</v>
      </c>
      <c r="G51" s="47"/>
      <c r="H51" s="47"/>
      <c r="I51" s="47"/>
      <c r="M51" s="25"/>
    </row>
    <row r="52" spans="1:13" ht="13.8" customHeight="1" x14ac:dyDescent="0.25">
      <c r="A52" s="39">
        <v>13</v>
      </c>
      <c r="B52" s="44" t="s">
        <v>167</v>
      </c>
      <c r="C52" s="44"/>
      <c r="D52" s="44"/>
      <c r="E52" s="44"/>
      <c r="F52" s="47" t="s">
        <v>162</v>
      </c>
      <c r="G52" s="47"/>
      <c r="H52" s="47"/>
      <c r="I52" s="47"/>
    </row>
    <row r="53" spans="1:13" ht="13.2" customHeight="1" x14ac:dyDescent="0.25">
      <c r="A53" s="39">
        <v>14</v>
      </c>
      <c r="B53" s="44" t="s">
        <v>149</v>
      </c>
      <c r="C53" s="44"/>
      <c r="D53" s="44"/>
      <c r="E53" s="44"/>
      <c r="F53" s="47" t="s">
        <v>164</v>
      </c>
      <c r="G53" s="47"/>
      <c r="H53" s="47"/>
      <c r="I53" s="47"/>
    </row>
    <row r="54" spans="1:13" ht="13.8" x14ac:dyDescent="0.25">
      <c r="A54" s="39">
        <v>15</v>
      </c>
      <c r="B54" s="44" t="s">
        <v>150</v>
      </c>
      <c r="C54" s="44"/>
      <c r="D54" s="44"/>
      <c r="E54" s="44"/>
      <c r="F54" s="47" t="s">
        <v>163</v>
      </c>
      <c r="G54" s="47"/>
      <c r="H54" s="47"/>
      <c r="I54" s="47"/>
    </row>
    <row r="55" spans="1:13" ht="15" customHeight="1" x14ac:dyDescent="0.25">
      <c r="A55" s="50" t="s">
        <v>169</v>
      </c>
      <c r="B55" s="50"/>
      <c r="C55" s="50"/>
      <c r="D55" s="50"/>
      <c r="E55" s="50"/>
      <c r="F55" s="50"/>
      <c r="G55" s="50"/>
      <c r="H55" s="50"/>
      <c r="I55" s="50"/>
    </row>
    <row r="56" spans="1:13" x14ac:dyDescent="0.25">
      <c r="A56" s="51"/>
      <c r="B56" s="51"/>
      <c r="C56" s="51"/>
      <c r="D56" s="51"/>
      <c r="E56" s="51"/>
      <c r="F56" s="51"/>
      <c r="G56" s="51"/>
      <c r="H56" s="51"/>
      <c r="I56" s="51"/>
    </row>
    <row r="57" spans="1:13" ht="16.8" customHeight="1" x14ac:dyDescent="0.25">
      <c r="A57" s="51"/>
      <c r="B57" s="51"/>
      <c r="C57" s="51"/>
      <c r="D57" s="51"/>
      <c r="E57" s="51"/>
      <c r="F57" s="51"/>
      <c r="G57" s="51"/>
      <c r="H57" s="51"/>
      <c r="I57" s="51"/>
    </row>
    <row r="58" spans="1:13" x14ac:dyDescent="0.25">
      <c r="A58" s="51"/>
      <c r="B58" s="51"/>
      <c r="C58" s="51"/>
      <c r="D58" s="51"/>
      <c r="E58" s="51"/>
      <c r="F58" s="51"/>
      <c r="G58" s="51"/>
      <c r="H58" s="51"/>
      <c r="I58" s="51"/>
    </row>
    <row r="59" spans="1:13" x14ac:dyDescent="0.25">
      <c r="C59" s="25"/>
      <c r="D59" s="6"/>
      <c r="E59" s="6"/>
      <c r="F59" s="6"/>
      <c r="I59" s="6"/>
    </row>
    <row r="60" spans="1:13" x14ac:dyDescent="0.25">
      <c r="C60" s="6"/>
      <c r="D60" s="6"/>
      <c r="E60" s="6"/>
      <c r="F60" s="6"/>
      <c r="I60" s="6"/>
    </row>
  </sheetData>
  <mergeCells count="31">
    <mergeCell ref="B47:E47"/>
    <mergeCell ref="F47:I47"/>
    <mergeCell ref="F48:I48"/>
    <mergeCell ref="F49:I49"/>
    <mergeCell ref="A55:I58"/>
    <mergeCell ref="B48:E48"/>
    <mergeCell ref="B49:E49"/>
    <mergeCell ref="F52:I52"/>
    <mergeCell ref="B52:E52"/>
    <mergeCell ref="F50:I50"/>
    <mergeCell ref="F51:I51"/>
    <mergeCell ref="F53:I53"/>
    <mergeCell ref="F54:I54"/>
    <mergeCell ref="B50:E50"/>
    <mergeCell ref="B51:E51"/>
    <mergeCell ref="B53:E53"/>
    <mergeCell ref="B54:E54"/>
    <mergeCell ref="B45:E45"/>
    <mergeCell ref="B46:E46"/>
    <mergeCell ref="M39:O39"/>
    <mergeCell ref="A40:I40"/>
    <mergeCell ref="B41:E41"/>
    <mergeCell ref="F41:I41"/>
    <mergeCell ref="B42:E42"/>
    <mergeCell ref="F42:I42"/>
    <mergeCell ref="B43:E43"/>
    <mergeCell ref="F43:I43"/>
    <mergeCell ref="B44:E44"/>
    <mergeCell ref="F44:I44"/>
    <mergeCell ref="F45:I45"/>
    <mergeCell ref="F46:I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9BE4-16F0-4660-A98C-2AC3EDE9FEB2}">
  <dimension ref="A1:H21"/>
  <sheetViews>
    <sheetView topLeftCell="A13" workbookViewId="0">
      <selection activeCell="F27" sqref="F27"/>
    </sheetView>
  </sheetViews>
  <sheetFormatPr defaultRowHeight="13.2" x14ac:dyDescent="0.25"/>
  <cols>
    <col min="1" max="1" width="27.5546875" customWidth="1"/>
    <col min="2" max="2" width="21.33203125" customWidth="1"/>
    <col min="3" max="3" width="45" customWidth="1"/>
    <col min="4" max="4" width="8.5546875" customWidth="1"/>
    <col min="7" max="7" width="54.109375" customWidth="1"/>
    <col min="8" max="8" width="17.109375" customWidth="1"/>
  </cols>
  <sheetData>
    <row r="1" spans="1:8" ht="31.2" customHeight="1" x14ac:dyDescent="0.6">
      <c r="A1" s="55" t="s">
        <v>122</v>
      </c>
      <c r="B1" s="55"/>
      <c r="C1" s="55"/>
      <c r="D1" s="14"/>
      <c r="G1" s="56" t="s">
        <v>123</v>
      </c>
      <c r="H1" s="56"/>
    </row>
    <row r="2" spans="1:8" ht="21" x14ac:dyDescent="0.5">
      <c r="A2" s="19" t="s">
        <v>99</v>
      </c>
      <c r="B2" s="18" t="s">
        <v>100</v>
      </c>
      <c r="C2" s="15" t="s">
        <v>127</v>
      </c>
      <c r="D2" s="20"/>
      <c r="G2" s="21" t="s">
        <v>101</v>
      </c>
      <c r="H2" s="21" t="s">
        <v>103</v>
      </c>
    </row>
    <row r="3" spans="1:8" ht="17.399999999999999" x14ac:dyDescent="0.45">
      <c r="A3" s="8" t="s">
        <v>93</v>
      </c>
      <c r="B3" s="10" t="s">
        <v>94</v>
      </c>
      <c r="C3" s="16" t="s">
        <v>95</v>
      </c>
      <c r="G3" s="22" t="s">
        <v>102</v>
      </c>
      <c r="H3" s="40"/>
    </row>
    <row r="4" spans="1:8" ht="16.8" x14ac:dyDescent="0.4">
      <c r="A4" s="8" t="s">
        <v>95</v>
      </c>
      <c r="B4" s="10" t="s">
        <v>96</v>
      </c>
      <c r="C4" s="17" t="s">
        <v>125</v>
      </c>
      <c r="D4" s="13"/>
      <c r="G4" s="23" t="s">
        <v>128</v>
      </c>
      <c r="H4" s="23"/>
    </row>
    <row r="5" spans="1:8" ht="23.4" x14ac:dyDescent="0.45">
      <c r="A5" s="8" t="s">
        <v>174</v>
      </c>
      <c r="B5" s="10" t="s">
        <v>98</v>
      </c>
      <c r="C5" s="17" t="s">
        <v>124</v>
      </c>
      <c r="D5" s="13"/>
      <c r="G5" s="24" t="s">
        <v>104</v>
      </c>
      <c r="H5" s="41" t="s">
        <v>107</v>
      </c>
    </row>
    <row r="6" spans="1:8" ht="22.2" customHeight="1" x14ac:dyDescent="0.45">
      <c r="A6" s="8" t="s">
        <v>97</v>
      </c>
      <c r="B6" s="10">
        <v>10100</v>
      </c>
      <c r="C6" s="17" t="s">
        <v>138</v>
      </c>
      <c r="G6" s="24" t="s">
        <v>105</v>
      </c>
      <c r="H6" s="41" t="s">
        <v>107</v>
      </c>
    </row>
    <row r="7" spans="1:8" ht="23.4" x14ac:dyDescent="0.45">
      <c r="A7" s="8" t="s">
        <v>175</v>
      </c>
      <c r="B7" s="10">
        <v>34</v>
      </c>
      <c r="C7" s="17" t="s">
        <v>139</v>
      </c>
      <c r="G7" s="24" t="s">
        <v>106</v>
      </c>
      <c r="H7" s="41" t="s">
        <v>107</v>
      </c>
    </row>
    <row r="8" spans="1:8" ht="22.2" customHeight="1" x14ac:dyDescent="0.45">
      <c r="A8" s="9" t="s">
        <v>108</v>
      </c>
      <c r="B8" s="10">
        <v>297.06</v>
      </c>
      <c r="C8" s="17" t="s">
        <v>140</v>
      </c>
      <c r="G8" s="24" t="s">
        <v>113</v>
      </c>
      <c r="H8" s="41"/>
    </row>
    <row r="9" spans="1:8" ht="21" customHeight="1" x14ac:dyDescent="0.45">
      <c r="A9" s="9" t="s">
        <v>111</v>
      </c>
      <c r="B9" s="11" t="s">
        <v>114</v>
      </c>
      <c r="C9" s="17" t="s">
        <v>141</v>
      </c>
      <c r="G9" s="24" t="s">
        <v>109</v>
      </c>
      <c r="H9" s="41" t="s">
        <v>107</v>
      </c>
    </row>
    <row r="10" spans="1:8" ht="21.6" customHeight="1" x14ac:dyDescent="0.45">
      <c r="A10" s="9" t="s">
        <v>112</v>
      </c>
      <c r="B10" s="10">
        <v>30</v>
      </c>
      <c r="C10" s="17" t="s">
        <v>142</v>
      </c>
      <c r="G10" s="24" t="s">
        <v>110</v>
      </c>
      <c r="H10" s="41" t="s">
        <v>107</v>
      </c>
    </row>
    <row r="11" spans="1:8" ht="23.4" x14ac:dyDescent="0.45">
      <c r="A11" s="9" t="s">
        <v>176</v>
      </c>
      <c r="B11" s="12" t="s">
        <v>136</v>
      </c>
      <c r="C11" s="17" t="s">
        <v>173</v>
      </c>
      <c r="D11" s="13"/>
      <c r="G11" s="24" t="s">
        <v>115</v>
      </c>
      <c r="H11" s="41"/>
    </row>
    <row r="12" spans="1:8" ht="23.4" x14ac:dyDescent="0.45">
      <c r="A12" s="9" t="s">
        <v>152</v>
      </c>
      <c r="B12" s="11" t="s">
        <v>117</v>
      </c>
      <c r="C12" s="17" t="s">
        <v>172</v>
      </c>
      <c r="G12" s="24" t="s">
        <v>116</v>
      </c>
      <c r="H12" s="41" t="s">
        <v>107</v>
      </c>
    </row>
    <row r="13" spans="1:8" ht="23.4" x14ac:dyDescent="0.45">
      <c r="A13" s="9" t="s">
        <v>170</v>
      </c>
      <c r="B13" s="11" t="s">
        <v>118</v>
      </c>
      <c r="C13" s="17" t="s">
        <v>171</v>
      </c>
      <c r="G13" s="24" t="s">
        <v>129</v>
      </c>
      <c r="H13" s="41" t="s">
        <v>107</v>
      </c>
    </row>
    <row r="14" spans="1:8" ht="23.4" x14ac:dyDescent="0.45">
      <c r="A14" s="9" t="s">
        <v>151</v>
      </c>
      <c r="B14" s="34">
        <v>8052</v>
      </c>
      <c r="C14" s="17" t="s">
        <v>153</v>
      </c>
      <c r="G14" s="24" t="s">
        <v>130</v>
      </c>
      <c r="H14" s="41" t="s">
        <v>107</v>
      </c>
    </row>
    <row r="15" spans="1:8" ht="22.8" customHeight="1" x14ac:dyDescent="0.45">
      <c r="A15" s="9" t="s">
        <v>154</v>
      </c>
      <c r="B15" s="34">
        <v>11</v>
      </c>
      <c r="C15" s="17" t="s">
        <v>155</v>
      </c>
      <c r="G15" s="24" t="s">
        <v>131</v>
      </c>
      <c r="H15" s="41"/>
    </row>
    <row r="16" spans="1:8" ht="22.8" customHeight="1" x14ac:dyDescent="0.45">
      <c r="A16" s="9" t="s">
        <v>156</v>
      </c>
      <c r="B16" s="12" t="s">
        <v>177</v>
      </c>
      <c r="C16" s="16" t="s">
        <v>162</v>
      </c>
      <c r="G16" s="24" t="s">
        <v>119</v>
      </c>
      <c r="H16" s="41" t="s">
        <v>107</v>
      </c>
    </row>
    <row r="17" spans="1:8" ht="22.8" customHeight="1" x14ac:dyDescent="0.45">
      <c r="A17" s="9" t="s">
        <v>157</v>
      </c>
      <c r="B17" s="12" t="s">
        <v>178</v>
      </c>
      <c r="C17" s="16" t="s">
        <v>164</v>
      </c>
      <c r="G17" s="24" t="s">
        <v>120</v>
      </c>
      <c r="H17" s="41" t="s">
        <v>107</v>
      </c>
    </row>
    <row r="18" spans="1:8" ht="21.6" customHeight="1" x14ac:dyDescent="0.45">
      <c r="A18" s="9" t="s">
        <v>158</v>
      </c>
      <c r="B18" s="12" t="s">
        <v>179</v>
      </c>
      <c r="C18" s="16" t="s">
        <v>163</v>
      </c>
      <c r="G18" s="24" t="s">
        <v>126</v>
      </c>
      <c r="H18" s="41"/>
    </row>
    <row r="19" spans="1:8" ht="22.2" customHeight="1" x14ac:dyDescent="0.45">
      <c r="G19" s="24" t="s">
        <v>183</v>
      </c>
      <c r="H19" s="41" t="s">
        <v>107</v>
      </c>
    </row>
    <row r="20" spans="1:8" ht="21.6" customHeight="1" x14ac:dyDescent="0.45">
      <c r="A20" s="13" t="s">
        <v>121</v>
      </c>
      <c r="G20" s="24" t="s">
        <v>182</v>
      </c>
      <c r="H20" s="41" t="s">
        <v>107</v>
      </c>
    </row>
    <row r="21" spans="1:8" ht="23.4" x14ac:dyDescent="0.45">
      <c r="G21" s="24" t="s">
        <v>184</v>
      </c>
      <c r="H21" s="41" t="s">
        <v>107</v>
      </c>
    </row>
  </sheetData>
  <mergeCells count="2">
    <mergeCell ref="A1:C1"/>
    <mergeCell ref="G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B3735-0113-4695-B821-F893B3B928C7}">
  <dimension ref="A3:C25"/>
  <sheetViews>
    <sheetView tabSelected="1" workbookViewId="0">
      <selection activeCell="I24" sqref="I24"/>
    </sheetView>
  </sheetViews>
  <sheetFormatPr defaultRowHeight="13.2" x14ac:dyDescent="0.25"/>
  <cols>
    <col min="1" max="1" width="13.6640625" bestFit="1" customWidth="1"/>
    <col min="2" max="2" width="15.21875" bestFit="1" customWidth="1"/>
    <col min="3" max="3" width="15.109375" bestFit="1" customWidth="1"/>
  </cols>
  <sheetData>
    <row r="3" spans="1:3" x14ac:dyDescent="0.25">
      <c r="A3" s="42" t="s">
        <v>185</v>
      </c>
      <c r="B3" t="s">
        <v>188</v>
      </c>
      <c r="C3" t="s">
        <v>187</v>
      </c>
    </row>
    <row r="4" spans="1:3" x14ac:dyDescent="0.25">
      <c r="A4" s="7" t="s">
        <v>22</v>
      </c>
      <c r="B4" s="57">
        <v>20</v>
      </c>
      <c r="C4" s="43">
        <v>70</v>
      </c>
    </row>
    <row r="5" spans="1:3" x14ac:dyDescent="0.25">
      <c r="A5" s="7" t="s">
        <v>32</v>
      </c>
      <c r="B5" s="57">
        <v>75</v>
      </c>
      <c r="C5" s="43">
        <v>490</v>
      </c>
    </row>
    <row r="6" spans="1:3" x14ac:dyDescent="0.25">
      <c r="A6" s="7" t="s">
        <v>65</v>
      </c>
      <c r="B6" s="57">
        <v>50</v>
      </c>
      <c r="C6" s="43">
        <v>700</v>
      </c>
    </row>
    <row r="7" spans="1:3" x14ac:dyDescent="0.25">
      <c r="A7" s="7" t="s">
        <v>62</v>
      </c>
      <c r="B7" s="57">
        <v>10</v>
      </c>
      <c r="C7" s="43">
        <v>200</v>
      </c>
    </row>
    <row r="8" spans="1:3" x14ac:dyDescent="0.25">
      <c r="A8" s="7" t="s">
        <v>15</v>
      </c>
      <c r="B8" s="57">
        <v>75</v>
      </c>
      <c r="C8" s="43">
        <v>250</v>
      </c>
    </row>
    <row r="9" spans="1:3" x14ac:dyDescent="0.25">
      <c r="A9" s="7" t="s">
        <v>80</v>
      </c>
      <c r="B9" s="57">
        <v>30</v>
      </c>
      <c r="C9" s="43">
        <v>60</v>
      </c>
    </row>
    <row r="10" spans="1:3" x14ac:dyDescent="0.25">
      <c r="A10" s="7" t="s">
        <v>71</v>
      </c>
      <c r="B10" s="57">
        <v>35</v>
      </c>
      <c r="C10" s="43">
        <v>280</v>
      </c>
    </row>
    <row r="11" spans="1:3" x14ac:dyDescent="0.25">
      <c r="A11" s="7" t="s">
        <v>26</v>
      </c>
      <c r="B11" s="57">
        <v>85</v>
      </c>
      <c r="C11" s="43">
        <v>680</v>
      </c>
    </row>
    <row r="12" spans="1:3" x14ac:dyDescent="0.25">
      <c r="A12" s="7" t="s">
        <v>38</v>
      </c>
      <c r="B12" s="57">
        <v>10</v>
      </c>
      <c r="C12" s="43">
        <v>130</v>
      </c>
    </row>
    <row r="13" spans="1:3" x14ac:dyDescent="0.25">
      <c r="A13" s="7" t="s">
        <v>88</v>
      </c>
      <c r="B13" s="57">
        <v>50</v>
      </c>
      <c r="C13" s="43">
        <v>50</v>
      </c>
    </row>
    <row r="14" spans="1:3" x14ac:dyDescent="0.25">
      <c r="A14" s="7" t="s">
        <v>7</v>
      </c>
      <c r="B14" s="57">
        <v>90</v>
      </c>
      <c r="C14" s="43">
        <v>3880</v>
      </c>
    </row>
    <row r="15" spans="1:3" x14ac:dyDescent="0.25">
      <c r="A15" s="7" t="s">
        <v>51</v>
      </c>
      <c r="B15" s="57">
        <v>70</v>
      </c>
      <c r="C15" s="43">
        <v>100</v>
      </c>
    </row>
    <row r="16" spans="1:3" x14ac:dyDescent="0.25">
      <c r="A16" s="7" t="s">
        <v>68</v>
      </c>
      <c r="B16" s="57">
        <v>20</v>
      </c>
      <c r="C16" s="43">
        <v>80</v>
      </c>
    </row>
    <row r="17" spans="1:3" x14ac:dyDescent="0.25">
      <c r="A17" s="7" t="s">
        <v>19</v>
      </c>
      <c r="B17" s="57">
        <v>70</v>
      </c>
      <c r="C17" s="43">
        <v>1700</v>
      </c>
    </row>
    <row r="18" spans="1:3" x14ac:dyDescent="0.25">
      <c r="A18" s="7" t="s">
        <v>46</v>
      </c>
      <c r="B18" s="57">
        <v>30</v>
      </c>
      <c r="C18" s="43">
        <v>310</v>
      </c>
    </row>
    <row r="19" spans="1:3" x14ac:dyDescent="0.25">
      <c r="A19" s="7" t="s">
        <v>11</v>
      </c>
      <c r="B19" s="57">
        <v>55</v>
      </c>
      <c r="C19" s="43">
        <v>170</v>
      </c>
    </row>
    <row r="20" spans="1:3" x14ac:dyDescent="0.25">
      <c r="A20" s="7" t="s">
        <v>59</v>
      </c>
      <c r="B20" s="57">
        <v>40</v>
      </c>
      <c r="C20" s="43">
        <v>280</v>
      </c>
    </row>
    <row r="21" spans="1:3" x14ac:dyDescent="0.25">
      <c r="A21" s="7" t="s">
        <v>35</v>
      </c>
      <c r="B21" s="57">
        <v>50</v>
      </c>
      <c r="C21" s="43">
        <v>500</v>
      </c>
    </row>
    <row r="22" spans="1:3" x14ac:dyDescent="0.25">
      <c r="A22" s="7" t="s">
        <v>83</v>
      </c>
      <c r="B22" s="57">
        <v>10</v>
      </c>
      <c r="C22" s="43">
        <v>40</v>
      </c>
    </row>
    <row r="23" spans="1:3" x14ac:dyDescent="0.25">
      <c r="A23" s="7" t="s">
        <v>29</v>
      </c>
      <c r="B23" s="57">
        <v>5</v>
      </c>
      <c r="C23" s="43">
        <v>30</v>
      </c>
    </row>
    <row r="24" spans="1:3" x14ac:dyDescent="0.25">
      <c r="A24" s="7" t="s">
        <v>91</v>
      </c>
      <c r="B24" s="57">
        <v>20</v>
      </c>
      <c r="C24" s="43">
        <v>100</v>
      </c>
    </row>
    <row r="25" spans="1:3" x14ac:dyDescent="0.25">
      <c r="A25" s="7" t="s">
        <v>186</v>
      </c>
      <c r="B25" s="57">
        <v>900</v>
      </c>
      <c r="C25" s="43">
        <v>10100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2A563-4836-4563-966E-6C5389CBCDFF}">
  <dimension ref="A1:J35"/>
  <sheetViews>
    <sheetView workbookViewId="0">
      <selection sqref="A1:J35"/>
    </sheetView>
  </sheetViews>
  <sheetFormatPr defaultRowHeight="13.2" x14ac:dyDescent="0.25"/>
  <cols>
    <col min="1" max="1" width="13" customWidth="1"/>
    <col min="2" max="2" width="15.5546875" customWidth="1"/>
    <col min="3" max="3" width="16.6640625" customWidth="1"/>
    <col min="4" max="4" width="11.88671875" customWidth="1"/>
    <col min="5" max="5" width="11.109375" customWidth="1"/>
    <col min="6" max="6" width="12.88671875" customWidth="1"/>
    <col min="7" max="7" width="15.88671875" customWidth="1"/>
    <col min="9" max="9" width="13.21875" customWidth="1"/>
    <col min="10" max="10" width="13.109375" customWidth="1"/>
  </cols>
  <sheetData>
    <row r="1" spans="1:10" x14ac:dyDescent="0.25">
      <c r="A1" s="1" t="s">
        <v>0</v>
      </c>
      <c r="B1" s="1" t="s">
        <v>1</v>
      </c>
      <c r="C1" s="1" t="s">
        <v>2</v>
      </c>
      <c r="D1" s="1" t="s">
        <v>3</v>
      </c>
      <c r="E1" s="1" t="s">
        <v>4</v>
      </c>
      <c r="F1" s="1" t="s">
        <v>5</v>
      </c>
      <c r="G1" s="1" t="s">
        <v>136</v>
      </c>
      <c r="H1" s="35" t="s">
        <v>159</v>
      </c>
      <c r="I1" s="35" t="s">
        <v>160</v>
      </c>
      <c r="J1" s="35" t="s">
        <v>161</v>
      </c>
    </row>
    <row r="2" spans="1:10" x14ac:dyDescent="0.25">
      <c r="A2" s="3" t="s">
        <v>6</v>
      </c>
      <c r="B2" s="3" t="s">
        <v>7</v>
      </c>
      <c r="C2" s="3" t="s">
        <v>8</v>
      </c>
      <c r="D2" s="32">
        <v>1000</v>
      </c>
      <c r="E2" s="30">
        <v>30</v>
      </c>
      <c r="F2" s="3" t="s">
        <v>9</v>
      </c>
      <c r="G2" t="str">
        <f>IF(D2&gt;500,"High Price","Standard Value")</f>
        <v>High Price</v>
      </c>
      <c r="H2" s="6" t="str" cm="1">
        <f t="array" ref="H2:H35">LEFT(A2:A35,"2")</f>
        <v>28</v>
      </c>
      <c r="I2" s="6" t="str" cm="1">
        <f t="array" ref="I2:I35">RIGHT(A2:A35,2)</f>
        <v>US</v>
      </c>
      <c r="J2" s="6" t="str" cm="1">
        <f t="array" ref="J2:J35">MID(A2:A35,4,3)</f>
        <v>JAN</v>
      </c>
    </row>
    <row r="3" spans="1:10" x14ac:dyDescent="0.25">
      <c r="A3" s="4" t="s">
        <v>10</v>
      </c>
      <c r="B3" s="4" t="s">
        <v>11</v>
      </c>
      <c r="C3" s="4" t="s">
        <v>12</v>
      </c>
      <c r="D3" s="33">
        <v>80</v>
      </c>
      <c r="E3" s="31">
        <v>15</v>
      </c>
      <c r="F3" s="4" t="s">
        <v>13</v>
      </c>
      <c r="G3" t="str">
        <f t="shared" ref="G3:G35" si="0">IF(D3&gt;500,"High Price","Standard Value")</f>
        <v>Standard Value</v>
      </c>
      <c r="H3" s="6" t="str">
        <v>15</v>
      </c>
      <c r="I3" s="6" t="str">
        <v>US</v>
      </c>
      <c r="J3" s="6" t="str">
        <v>FEB</v>
      </c>
    </row>
    <row r="4" spans="1:10" x14ac:dyDescent="0.25">
      <c r="A4" s="3" t="s">
        <v>14</v>
      </c>
      <c r="B4" s="3" t="s">
        <v>15</v>
      </c>
      <c r="C4" s="3" t="s">
        <v>16</v>
      </c>
      <c r="D4" s="32">
        <v>130</v>
      </c>
      <c r="E4" s="30">
        <v>40</v>
      </c>
      <c r="F4" s="3" t="s">
        <v>17</v>
      </c>
      <c r="G4" t="str">
        <f t="shared" si="0"/>
        <v>Standard Value</v>
      </c>
      <c r="H4" s="6" t="str">
        <v>03</v>
      </c>
      <c r="I4" s="6" t="str">
        <v>US</v>
      </c>
      <c r="J4" s="6" t="str">
        <v>MAR</v>
      </c>
    </row>
    <row r="5" spans="1:10" x14ac:dyDescent="0.25">
      <c r="A5" s="4" t="s">
        <v>18</v>
      </c>
      <c r="B5" s="4" t="s">
        <v>19</v>
      </c>
      <c r="C5" s="4" t="s">
        <v>20</v>
      </c>
      <c r="D5" s="33">
        <v>900</v>
      </c>
      <c r="E5" s="31">
        <v>25</v>
      </c>
      <c r="F5" s="4" t="s">
        <v>9</v>
      </c>
      <c r="G5" t="str">
        <f t="shared" si="0"/>
        <v>High Price</v>
      </c>
      <c r="H5" s="6" t="str">
        <v>11</v>
      </c>
      <c r="I5" s="6" t="str">
        <v>US</v>
      </c>
      <c r="J5" s="6" t="str">
        <v>APR</v>
      </c>
    </row>
    <row r="6" spans="1:10" x14ac:dyDescent="0.25">
      <c r="A6" s="3" t="s">
        <v>21</v>
      </c>
      <c r="B6" s="3" t="s">
        <v>22</v>
      </c>
      <c r="C6" s="3" t="s">
        <v>23</v>
      </c>
      <c r="D6" s="32">
        <v>70</v>
      </c>
      <c r="E6" s="30">
        <v>20</v>
      </c>
      <c r="F6" s="3" t="s">
        <v>24</v>
      </c>
      <c r="G6" t="str">
        <f t="shared" si="0"/>
        <v>Standard Value</v>
      </c>
      <c r="H6" s="6" t="str">
        <v>22</v>
      </c>
      <c r="I6" s="6" t="str">
        <v>US</v>
      </c>
      <c r="J6" s="6" t="str">
        <v>MAY</v>
      </c>
    </row>
    <row r="7" spans="1:10" x14ac:dyDescent="0.25">
      <c r="A7" s="4" t="s">
        <v>25</v>
      </c>
      <c r="B7" s="4" t="s">
        <v>26</v>
      </c>
      <c r="C7" s="4" t="s">
        <v>27</v>
      </c>
      <c r="D7" s="33">
        <v>200</v>
      </c>
      <c r="E7" s="31">
        <v>45</v>
      </c>
      <c r="F7" s="4" t="s">
        <v>9</v>
      </c>
      <c r="G7" t="str">
        <f t="shared" si="0"/>
        <v>Standard Value</v>
      </c>
      <c r="H7" s="6" t="str">
        <v>07</v>
      </c>
      <c r="I7" s="6" t="str">
        <v>UK</v>
      </c>
      <c r="J7" s="6" t="str">
        <v>JUN</v>
      </c>
    </row>
    <row r="8" spans="1:10" x14ac:dyDescent="0.25">
      <c r="A8" s="3" t="s">
        <v>28</v>
      </c>
      <c r="B8" s="3" t="s">
        <v>29</v>
      </c>
      <c r="C8" s="3" t="s">
        <v>30</v>
      </c>
      <c r="D8" s="32">
        <v>30</v>
      </c>
      <c r="E8" s="30">
        <v>5</v>
      </c>
      <c r="F8" s="3" t="s">
        <v>13</v>
      </c>
      <c r="G8" t="str">
        <f t="shared" si="0"/>
        <v>Standard Value</v>
      </c>
      <c r="H8" s="6" t="str">
        <v>19</v>
      </c>
      <c r="I8" s="6" t="str">
        <v>UK</v>
      </c>
      <c r="J8" s="6" t="str">
        <v>JUL</v>
      </c>
    </row>
    <row r="9" spans="1:10" x14ac:dyDescent="0.25">
      <c r="A9" s="4" t="s">
        <v>31</v>
      </c>
      <c r="B9" s="4" t="s">
        <v>32</v>
      </c>
      <c r="C9" s="4" t="s">
        <v>33</v>
      </c>
      <c r="D9" s="33">
        <v>90</v>
      </c>
      <c r="E9" s="31">
        <v>35</v>
      </c>
      <c r="F9" s="4" t="s">
        <v>17</v>
      </c>
      <c r="G9" t="str">
        <f t="shared" si="0"/>
        <v>Standard Value</v>
      </c>
      <c r="H9" s="6" t="str">
        <v>23</v>
      </c>
      <c r="I9" s="6" t="str">
        <v>UK</v>
      </c>
      <c r="J9" s="6" t="str">
        <v>AUG</v>
      </c>
    </row>
    <row r="10" spans="1:10" x14ac:dyDescent="0.25">
      <c r="A10" s="3" t="s">
        <v>34</v>
      </c>
      <c r="B10" s="3" t="s">
        <v>35</v>
      </c>
      <c r="C10" s="3" t="s">
        <v>36</v>
      </c>
      <c r="D10" s="32">
        <v>500</v>
      </c>
      <c r="E10" s="30">
        <v>50</v>
      </c>
      <c r="F10" s="3" t="s">
        <v>9</v>
      </c>
      <c r="G10" t="str">
        <f t="shared" si="0"/>
        <v>Standard Value</v>
      </c>
      <c r="H10" s="6" t="str">
        <v>05</v>
      </c>
      <c r="I10" s="6" t="str">
        <v>UK</v>
      </c>
      <c r="J10" s="6" t="str">
        <v>SEP</v>
      </c>
    </row>
    <row r="11" spans="1:10" x14ac:dyDescent="0.25">
      <c r="A11" s="4" t="s">
        <v>37</v>
      </c>
      <c r="B11" s="4" t="s">
        <v>38</v>
      </c>
      <c r="C11" s="4" t="s">
        <v>39</v>
      </c>
      <c r="D11" s="33">
        <v>130</v>
      </c>
      <c r="E11" s="31">
        <v>10</v>
      </c>
      <c r="F11" s="4" t="s">
        <v>24</v>
      </c>
      <c r="G11" t="str">
        <f t="shared" si="0"/>
        <v>Standard Value</v>
      </c>
      <c r="H11" s="6" t="str">
        <v>14</v>
      </c>
      <c r="I11" s="6" t="str">
        <v>UK</v>
      </c>
      <c r="J11" s="6" t="str">
        <v>OCT</v>
      </c>
    </row>
    <row r="12" spans="1:10" x14ac:dyDescent="0.25">
      <c r="A12" s="3" t="s">
        <v>40</v>
      </c>
      <c r="B12" s="3" t="s">
        <v>7</v>
      </c>
      <c r="C12" s="3" t="s">
        <v>41</v>
      </c>
      <c r="D12" s="32">
        <v>950</v>
      </c>
      <c r="E12" s="30">
        <v>25</v>
      </c>
      <c r="F12" s="3" t="s">
        <v>9</v>
      </c>
      <c r="G12" t="str">
        <f t="shared" si="0"/>
        <v>High Price</v>
      </c>
      <c r="H12" s="6" t="str">
        <v>17</v>
      </c>
      <c r="I12" s="6" t="str">
        <v>IN</v>
      </c>
      <c r="J12" s="6" t="str">
        <v>JUN</v>
      </c>
    </row>
    <row r="13" spans="1:10" x14ac:dyDescent="0.25">
      <c r="A13" s="4" t="s">
        <v>42</v>
      </c>
      <c r="B13" s="4" t="s">
        <v>11</v>
      </c>
      <c r="C13" s="4" t="s">
        <v>30</v>
      </c>
      <c r="D13" s="33">
        <v>90</v>
      </c>
      <c r="E13" s="31">
        <v>40</v>
      </c>
      <c r="F13" s="4" t="s">
        <v>13</v>
      </c>
      <c r="G13" t="str">
        <f t="shared" si="0"/>
        <v>Standard Value</v>
      </c>
      <c r="H13" s="6" t="str">
        <v>25</v>
      </c>
      <c r="I13" s="6" t="str">
        <v>AU</v>
      </c>
      <c r="J13" s="6" t="str">
        <v>NOV</v>
      </c>
    </row>
    <row r="14" spans="1:10" x14ac:dyDescent="0.25">
      <c r="A14" s="3" t="s">
        <v>43</v>
      </c>
      <c r="B14" s="3" t="s">
        <v>15</v>
      </c>
      <c r="C14" s="3" t="s">
        <v>44</v>
      </c>
      <c r="D14" s="32">
        <v>120</v>
      </c>
      <c r="E14" s="30">
        <v>35</v>
      </c>
      <c r="F14" s="3" t="s">
        <v>17</v>
      </c>
      <c r="G14" t="str">
        <f t="shared" si="0"/>
        <v>Standard Value</v>
      </c>
      <c r="H14" s="6" t="str">
        <v>08</v>
      </c>
      <c r="I14" s="6" t="str">
        <v>DE</v>
      </c>
      <c r="J14" s="6" t="str">
        <v>DEC</v>
      </c>
    </row>
    <row r="15" spans="1:10" x14ac:dyDescent="0.25">
      <c r="A15" s="4" t="s">
        <v>45</v>
      </c>
      <c r="B15" s="4" t="s">
        <v>46</v>
      </c>
      <c r="C15" s="4" t="s">
        <v>47</v>
      </c>
      <c r="D15" s="33">
        <v>150</v>
      </c>
      <c r="E15" s="31">
        <v>15</v>
      </c>
      <c r="F15" s="4" t="s">
        <v>9</v>
      </c>
      <c r="G15" t="str">
        <f t="shared" si="0"/>
        <v>Standard Value</v>
      </c>
      <c r="H15" s="6" t="str">
        <v>18</v>
      </c>
      <c r="I15" s="6" t="str">
        <v>CA</v>
      </c>
      <c r="J15" s="6" t="str">
        <v>FEB</v>
      </c>
    </row>
    <row r="16" spans="1:10" x14ac:dyDescent="0.25">
      <c r="A16" s="3" t="s">
        <v>48</v>
      </c>
      <c r="B16" s="3" t="s">
        <v>26</v>
      </c>
      <c r="C16" s="3" t="s">
        <v>49</v>
      </c>
      <c r="D16" s="32">
        <v>250</v>
      </c>
      <c r="E16" s="30">
        <v>20</v>
      </c>
      <c r="F16" s="3" t="s">
        <v>9</v>
      </c>
      <c r="G16" t="str">
        <f t="shared" si="0"/>
        <v>Standard Value</v>
      </c>
      <c r="H16" s="6" t="str">
        <v>16</v>
      </c>
      <c r="I16" s="6" t="str">
        <v>ES</v>
      </c>
      <c r="J16" s="6" t="str">
        <v>APR</v>
      </c>
    </row>
    <row r="17" spans="1:10" x14ac:dyDescent="0.25">
      <c r="A17" s="4" t="s">
        <v>50</v>
      </c>
      <c r="B17" s="4" t="s">
        <v>51</v>
      </c>
      <c r="C17" s="4" t="s">
        <v>52</v>
      </c>
      <c r="D17" s="33">
        <v>50</v>
      </c>
      <c r="E17" s="31">
        <v>35</v>
      </c>
      <c r="F17" s="4" t="s">
        <v>53</v>
      </c>
      <c r="G17" t="str">
        <f t="shared" si="0"/>
        <v>Standard Value</v>
      </c>
      <c r="H17" s="6" t="str">
        <v>21</v>
      </c>
      <c r="I17" s="6" t="str">
        <v>CA</v>
      </c>
      <c r="J17" s="6" t="str">
        <v>AUG</v>
      </c>
    </row>
    <row r="18" spans="1:10" x14ac:dyDescent="0.25">
      <c r="A18" s="3" t="s">
        <v>54</v>
      </c>
      <c r="B18" s="3" t="s">
        <v>46</v>
      </c>
      <c r="C18" s="3" t="s">
        <v>55</v>
      </c>
      <c r="D18" s="32">
        <v>160</v>
      </c>
      <c r="E18" s="30">
        <v>15</v>
      </c>
      <c r="F18" s="3" t="s">
        <v>9</v>
      </c>
      <c r="G18" t="str">
        <f t="shared" si="0"/>
        <v>Standard Value</v>
      </c>
      <c r="H18" s="6" t="str">
        <v>20</v>
      </c>
      <c r="I18" s="6" t="str">
        <v>CN</v>
      </c>
      <c r="J18" s="6" t="str">
        <v>AUG</v>
      </c>
    </row>
    <row r="19" spans="1:10" x14ac:dyDescent="0.25">
      <c r="A19" s="4" t="s">
        <v>56</v>
      </c>
      <c r="B19" s="4" t="s">
        <v>7</v>
      </c>
      <c r="C19" s="4" t="s">
        <v>57</v>
      </c>
      <c r="D19" s="33">
        <v>980</v>
      </c>
      <c r="E19" s="31">
        <v>10</v>
      </c>
      <c r="F19" s="4" t="s">
        <v>9</v>
      </c>
      <c r="G19" t="str">
        <f t="shared" si="0"/>
        <v>High Price</v>
      </c>
      <c r="H19" s="6" t="str">
        <v>27</v>
      </c>
      <c r="I19" s="6" t="str">
        <v>IT</v>
      </c>
      <c r="J19" s="6" t="str">
        <v>JAN</v>
      </c>
    </row>
    <row r="20" spans="1:10" x14ac:dyDescent="0.25">
      <c r="A20" s="3" t="s">
        <v>58</v>
      </c>
      <c r="B20" s="3" t="s">
        <v>59</v>
      </c>
      <c r="C20" s="3" t="s">
        <v>60</v>
      </c>
      <c r="D20" s="32">
        <v>150</v>
      </c>
      <c r="E20" s="30">
        <v>15</v>
      </c>
      <c r="F20" s="3" t="s">
        <v>13</v>
      </c>
      <c r="G20" t="str">
        <f t="shared" si="0"/>
        <v>Standard Value</v>
      </c>
      <c r="H20" s="6" t="str">
        <v>01</v>
      </c>
      <c r="I20" s="6" t="str">
        <v>UK</v>
      </c>
      <c r="J20" s="6" t="str">
        <v>MAR</v>
      </c>
    </row>
    <row r="21" spans="1:10" x14ac:dyDescent="0.25">
      <c r="A21" s="4" t="s">
        <v>61</v>
      </c>
      <c r="B21" s="4" t="s">
        <v>62</v>
      </c>
      <c r="C21" s="4" t="s">
        <v>63</v>
      </c>
      <c r="D21" s="33">
        <v>200</v>
      </c>
      <c r="E21" s="31">
        <v>10</v>
      </c>
      <c r="F21" s="4" t="s">
        <v>24</v>
      </c>
      <c r="G21" t="str">
        <f t="shared" si="0"/>
        <v>Standard Value</v>
      </c>
      <c r="H21" s="6" t="str">
        <v>14</v>
      </c>
      <c r="I21" s="6" t="str">
        <v>US</v>
      </c>
      <c r="J21" s="6" t="str">
        <v>AUG</v>
      </c>
    </row>
    <row r="22" spans="1:10" x14ac:dyDescent="0.25">
      <c r="A22" s="3" t="s">
        <v>64</v>
      </c>
      <c r="B22" s="3" t="s">
        <v>65</v>
      </c>
      <c r="C22" s="3" t="s">
        <v>66</v>
      </c>
      <c r="D22" s="32">
        <v>700</v>
      </c>
      <c r="E22" s="30">
        <v>50</v>
      </c>
      <c r="F22" s="3" t="s">
        <v>9</v>
      </c>
      <c r="G22" t="str">
        <f t="shared" si="0"/>
        <v>High Price</v>
      </c>
      <c r="H22" s="6" t="str">
        <v>14</v>
      </c>
      <c r="I22" s="6" t="str">
        <v>RU</v>
      </c>
      <c r="J22" s="6" t="str">
        <v>MAY</v>
      </c>
    </row>
    <row r="23" spans="1:10" x14ac:dyDescent="0.25">
      <c r="A23" s="4" t="s">
        <v>67</v>
      </c>
      <c r="B23" s="4" t="s">
        <v>68</v>
      </c>
      <c r="C23" s="4" t="s">
        <v>69</v>
      </c>
      <c r="D23" s="33">
        <v>80</v>
      </c>
      <c r="E23" s="31">
        <v>20</v>
      </c>
      <c r="F23" s="4" t="s">
        <v>17</v>
      </c>
      <c r="G23" t="str">
        <f t="shared" si="0"/>
        <v>Standard Value</v>
      </c>
      <c r="H23" s="6" t="str">
        <v>09</v>
      </c>
      <c r="I23" s="6" t="str">
        <v>CA</v>
      </c>
      <c r="J23" s="6" t="str">
        <v>JAN</v>
      </c>
    </row>
    <row r="24" spans="1:10" x14ac:dyDescent="0.25">
      <c r="A24" s="3" t="s">
        <v>70</v>
      </c>
      <c r="B24" s="3" t="s">
        <v>71</v>
      </c>
      <c r="C24" s="3" t="s">
        <v>72</v>
      </c>
      <c r="D24" s="32">
        <v>150</v>
      </c>
      <c r="E24" s="30">
        <v>30</v>
      </c>
      <c r="F24" s="3" t="s">
        <v>9</v>
      </c>
      <c r="G24" t="str">
        <f t="shared" si="0"/>
        <v>Standard Value</v>
      </c>
      <c r="H24" s="6" t="str">
        <v>19</v>
      </c>
      <c r="I24" s="6" t="str">
        <v>BR</v>
      </c>
      <c r="J24" s="6" t="str">
        <v>JUL</v>
      </c>
    </row>
    <row r="25" spans="1:10" x14ac:dyDescent="0.25">
      <c r="A25" s="4" t="s">
        <v>50</v>
      </c>
      <c r="B25" s="4" t="s">
        <v>51</v>
      </c>
      <c r="C25" s="4" t="s">
        <v>52</v>
      </c>
      <c r="D25" s="33">
        <v>50</v>
      </c>
      <c r="E25" s="31">
        <v>35</v>
      </c>
      <c r="F25" s="4" t="s">
        <v>53</v>
      </c>
      <c r="G25" t="str">
        <f t="shared" si="0"/>
        <v>Standard Value</v>
      </c>
      <c r="H25" s="6" t="str">
        <v>21</v>
      </c>
      <c r="I25" s="6" t="str">
        <v>CA</v>
      </c>
      <c r="J25" s="6" t="str">
        <v>AUG</v>
      </c>
    </row>
    <row r="26" spans="1:10" x14ac:dyDescent="0.25">
      <c r="A26" s="3" t="s">
        <v>73</v>
      </c>
      <c r="B26" s="3" t="s">
        <v>19</v>
      </c>
      <c r="C26" s="3" t="s">
        <v>74</v>
      </c>
      <c r="D26" s="32">
        <v>800</v>
      </c>
      <c r="E26" s="30">
        <v>45</v>
      </c>
      <c r="F26" s="3" t="s">
        <v>9</v>
      </c>
      <c r="G26" t="str">
        <f t="shared" si="0"/>
        <v>High Price</v>
      </c>
      <c r="H26" s="6" t="str">
        <v>29</v>
      </c>
      <c r="I26" s="6" t="str">
        <v>CA</v>
      </c>
      <c r="J26" s="6" t="str">
        <v>SEP</v>
      </c>
    </row>
    <row r="27" spans="1:10" x14ac:dyDescent="0.25">
      <c r="A27" s="4" t="s">
        <v>75</v>
      </c>
      <c r="B27" s="4" t="s">
        <v>59</v>
      </c>
      <c r="C27" s="4" t="s">
        <v>76</v>
      </c>
      <c r="D27" s="33">
        <v>130</v>
      </c>
      <c r="E27" s="31">
        <v>25</v>
      </c>
      <c r="F27" s="4" t="s">
        <v>13</v>
      </c>
      <c r="G27" t="str">
        <f t="shared" si="0"/>
        <v>Standard Value</v>
      </c>
      <c r="H27" s="6" t="str">
        <v>03</v>
      </c>
      <c r="I27" s="6" t="str">
        <v>CA</v>
      </c>
      <c r="J27" s="6" t="str">
        <v>JUN</v>
      </c>
    </row>
    <row r="28" spans="1:10" x14ac:dyDescent="0.25">
      <c r="A28" s="3" t="s">
        <v>77</v>
      </c>
      <c r="B28" s="3" t="s">
        <v>32</v>
      </c>
      <c r="C28" s="3" t="s">
        <v>78</v>
      </c>
      <c r="D28" s="32">
        <v>400</v>
      </c>
      <c r="E28" s="30">
        <v>40</v>
      </c>
      <c r="F28" s="3" t="s">
        <v>17</v>
      </c>
      <c r="G28" t="str">
        <f t="shared" si="0"/>
        <v>Standard Value</v>
      </c>
      <c r="H28" s="6" t="str">
        <v>11</v>
      </c>
      <c r="I28" s="6" t="str">
        <v>CA</v>
      </c>
      <c r="J28" s="6" t="str">
        <v>JUL</v>
      </c>
    </row>
    <row r="29" spans="1:10" x14ac:dyDescent="0.25">
      <c r="A29" s="4" t="s">
        <v>48</v>
      </c>
      <c r="B29" s="4" t="s">
        <v>26</v>
      </c>
      <c r="C29" s="4" t="s">
        <v>49</v>
      </c>
      <c r="D29" s="33">
        <v>230</v>
      </c>
      <c r="E29" s="31">
        <v>20</v>
      </c>
      <c r="F29" s="4" t="s">
        <v>9</v>
      </c>
      <c r="G29" t="str">
        <f t="shared" si="0"/>
        <v>Standard Value</v>
      </c>
      <c r="H29" s="6" t="str">
        <v>16</v>
      </c>
      <c r="I29" s="6" t="str">
        <v>ES</v>
      </c>
      <c r="J29" s="6" t="str">
        <v>APR</v>
      </c>
    </row>
    <row r="30" spans="1:10" x14ac:dyDescent="0.25">
      <c r="A30" s="3" t="s">
        <v>79</v>
      </c>
      <c r="B30" s="3" t="s">
        <v>80</v>
      </c>
      <c r="C30" s="3" t="s">
        <v>81</v>
      </c>
      <c r="D30" s="32">
        <v>60</v>
      </c>
      <c r="E30" s="30">
        <v>30</v>
      </c>
      <c r="F30" s="3" t="s">
        <v>13</v>
      </c>
      <c r="G30" t="str">
        <f t="shared" si="0"/>
        <v>Standard Value</v>
      </c>
      <c r="H30" s="6" t="str">
        <v>07</v>
      </c>
      <c r="I30" s="6" t="str">
        <v>CA</v>
      </c>
      <c r="J30" s="6" t="str">
        <v>MAR</v>
      </c>
    </row>
    <row r="31" spans="1:10" x14ac:dyDescent="0.25">
      <c r="A31" s="4" t="s">
        <v>82</v>
      </c>
      <c r="B31" s="4" t="s">
        <v>83</v>
      </c>
      <c r="C31" s="4" t="s">
        <v>84</v>
      </c>
      <c r="D31" s="33">
        <v>40</v>
      </c>
      <c r="E31" s="31">
        <v>10</v>
      </c>
      <c r="F31" s="4" t="s">
        <v>17</v>
      </c>
      <c r="G31" t="str">
        <f t="shared" si="0"/>
        <v>Standard Value</v>
      </c>
      <c r="H31" s="6" t="str">
        <v>13</v>
      </c>
      <c r="I31" s="6" t="str">
        <v>CA</v>
      </c>
      <c r="J31" s="6" t="str">
        <v>APR</v>
      </c>
    </row>
    <row r="32" spans="1:10" x14ac:dyDescent="0.25">
      <c r="A32" s="3" t="s">
        <v>85</v>
      </c>
      <c r="B32" s="3" t="s">
        <v>71</v>
      </c>
      <c r="C32" s="3" t="s">
        <v>86</v>
      </c>
      <c r="D32" s="32">
        <v>130</v>
      </c>
      <c r="E32" s="30">
        <v>5</v>
      </c>
      <c r="F32" s="3" t="s">
        <v>9</v>
      </c>
      <c r="G32" t="str">
        <f t="shared" si="0"/>
        <v>Standard Value</v>
      </c>
      <c r="H32" s="6" t="str">
        <v>24</v>
      </c>
      <c r="I32" s="6" t="str">
        <v>CA</v>
      </c>
      <c r="J32" s="6" t="str">
        <v>MAY</v>
      </c>
    </row>
    <row r="33" spans="1:10" x14ac:dyDescent="0.25">
      <c r="A33" s="4" t="s">
        <v>87</v>
      </c>
      <c r="B33" s="4" t="s">
        <v>88</v>
      </c>
      <c r="C33" s="4" t="s">
        <v>89</v>
      </c>
      <c r="D33" s="33">
        <v>50</v>
      </c>
      <c r="E33" s="31">
        <v>50</v>
      </c>
      <c r="F33" s="4" t="s">
        <v>13</v>
      </c>
      <c r="G33" t="str">
        <f t="shared" si="0"/>
        <v>Standard Value</v>
      </c>
      <c r="H33" s="6" t="str">
        <v>02</v>
      </c>
      <c r="I33" s="6" t="str">
        <v>CA</v>
      </c>
      <c r="J33" s="6" t="str">
        <v>DEC</v>
      </c>
    </row>
    <row r="34" spans="1:10" x14ac:dyDescent="0.25">
      <c r="A34" s="3" t="s">
        <v>40</v>
      </c>
      <c r="B34" s="3" t="s">
        <v>7</v>
      </c>
      <c r="C34" s="3" t="s">
        <v>41</v>
      </c>
      <c r="D34" s="32">
        <v>950</v>
      </c>
      <c r="E34" s="30">
        <v>25</v>
      </c>
      <c r="F34" s="3" t="s">
        <v>9</v>
      </c>
      <c r="G34" t="str">
        <f t="shared" si="0"/>
        <v>High Price</v>
      </c>
      <c r="H34" s="6" t="str">
        <v>17</v>
      </c>
      <c r="I34" s="6" t="str">
        <v>IN</v>
      </c>
      <c r="J34" s="6" t="str">
        <v>JUN</v>
      </c>
    </row>
    <row r="35" spans="1:10" x14ac:dyDescent="0.25">
      <c r="A35" s="4" t="s">
        <v>90</v>
      </c>
      <c r="B35" s="4" t="s">
        <v>91</v>
      </c>
      <c r="C35" s="4" t="s">
        <v>92</v>
      </c>
      <c r="D35" s="33">
        <v>100</v>
      </c>
      <c r="E35" s="31">
        <v>20</v>
      </c>
      <c r="F35" s="4" t="s">
        <v>53</v>
      </c>
      <c r="G35" t="str">
        <f t="shared" si="0"/>
        <v>Standard Value</v>
      </c>
      <c r="H35" s="6" t="str">
        <v>09</v>
      </c>
      <c r="I35" s="6" t="str">
        <v>FR</v>
      </c>
      <c r="J35" s="6" t="str">
        <v>JUL</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 Original</vt:lpstr>
      <vt:lpstr>module 1 assignment</vt:lpstr>
      <vt:lpstr>Observation</vt:lpstr>
      <vt:lpstr>Sheet3</vt:lpstr>
      <vt:lpstr>ROUGH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dc:creator>
  <cp:lastModifiedBy>durgashanmugam1996@outlook.com</cp:lastModifiedBy>
  <dcterms:created xsi:type="dcterms:W3CDTF">2026-07-21T18:08:40Z</dcterms:created>
  <dcterms:modified xsi:type="dcterms:W3CDTF">2026-08-20T17:17:20Z</dcterms:modified>
</cp:coreProperties>
</file>