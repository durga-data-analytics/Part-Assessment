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964d8ccabc90cd/Documents/"/>
    </mc:Choice>
  </mc:AlternateContent>
  <xr:revisionPtr revIDLastSave="343" documentId="8_{357C9D44-CFA0-400B-A7AF-E030F0BD04B0}" xr6:coauthVersionLast="47" xr6:coauthVersionMax="47" xr10:uidLastSave="{4A57BA71-F8BD-4DB8-A398-3AB425A2CDB4}"/>
  <bookViews>
    <workbookView xWindow="-108" yWindow="-108" windowWidth="23256" windowHeight="12456" xr2:uid="{4E3D763B-3A7C-4BF0-9CAF-B2E6BC31ED6F}"/>
  </bookViews>
  <sheets>
    <sheet name="Original_Dataset" sheetId="2" r:id="rId1"/>
    <sheet name="Cleaned_Dataset" sheetId="3" r:id="rId2"/>
    <sheet name="Observ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3" l="1"/>
  <c r="H32" i="3"/>
  <c r="G32" i="3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H2" i="3"/>
  <c r="G2" i="3"/>
</calcChain>
</file>

<file path=xl/sharedStrings.xml><?xml version="1.0" encoding="utf-8"?>
<sst xmlns="http://schemas.openxmlformats.org/spreadsheetml/2006/main" count="317" uniqueCount="143">
  <si>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</si>
  <si>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</si>
  <si>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</si>
  <si>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</si>
  <si>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</si>
  <si>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</si>
  <si>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</si>
  <si>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</si>
  <si>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</si>
  <si>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</si>
  <si>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</si>
  <si>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</si>
  <si>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</si>
  <si>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</si>
  <si>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</si>
  <si>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</si>
  <si>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</si>
  <si>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</si>
  <si>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</si>
  <si>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</si>
  <si>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</si>
  <si>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</si>
  <si>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</si>
  <si>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</si>
  <si>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</si>
  <si>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</si>
  <si>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</si>
  <si>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</si>
  <si>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</si>
  <si>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</si>
  <si>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</si>
  <si>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</si>
  <si>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</si>
  <si>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</si>
  <si>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</si>
  <si>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</si>
  <si>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</si>
  <si>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</si>
  <si>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</si>
  <si>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</si>
  <si>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</si>
  <si>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</si>
  <si>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</si>
  <si>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</si>
  <si>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</si>
  <si>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</si>
  <si>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</si>
  <si>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</si>
  <si>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</si>
  <si>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</si>
  <si>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</si>
  <si>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</si>
  <si>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</si>
  <si>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</si>
  <si>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</si>
  <si>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</si>
  <si>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</si>
  <si>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</si>
  <si>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</si>
  <si>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</si>
  <si>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</si>
  <si>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</si>
  <si>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</si>
  <si>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</si>
  <si>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</si>
  <si>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</si>
  <si>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</si>
  <si>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</si>
  <si>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</si>
  <si>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</si>
  <si>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</si>
  <si>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</si>
  <si>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</si>
  <si>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</si>
  <si>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</si>
  <si>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</si>
  <si>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</si>
  <si>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</si>
  <si>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</si>
  <si>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</si>
  <si>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</si>
  <si>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</si>
  <si>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</si>
  <si>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</si>
  <si>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</si>
  <si>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</si>
  <si>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</si>
  <si>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</si>
  <si>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</si>
  <si>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</si>
  <si>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</si>
  <si>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</si>
  <si>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</si>
  <si>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</si>
  <si>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</si>
  <si>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</si>
  <si>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</si>
  <si>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laptop</t>
  </si>
  <si>
    <t>smartphone</t>
  </si>
  <si>
    <t>Electroni</t>
  </si>
  <si>
    <t>DATA CLEANING</t>
  </si>
  <si>
    <t>TASK</t>
  </si>
  <si>
    <t xml:space="preserve">Handling Missing Data : </t>
  </si>
  <si>
    <t>Correcting Inconsistent Data :</t>
  </si>
  <si>
    <t xml:space="preserve">                Find and Replace in "Product Name"</t>
  </si>
  <si>
    <t xml:space="preserve">Removing Duplicates : </t>
  </si>
  <si>
    <t>Splitting and Merging Data :</t>
  </si>
  <si>
    <t xml:space="preserve">               Split Product ID into "manufacturing date" &amp; "Country Code"</t>
  </si>
  <si>
    <t xml:space="preserve">                Inconsistent text from "Product Name"</t>
  </si>
  <si>
    <t>Number Formatting :</t>
  </si>
  <si>
    <t>Conditional Formatting :</t>
  </si>
  <si>
    <t xml:space="preserve">                 Manufacturing Date display into "DD-MM-YYYY"</t>
  </si>
  <si>
    <t xml:space="preserve">                "Price" Column into Currency Format</t>
  </si>
  <si>
    <t xml:space="preserve">               Highlighting the "Electronics" in  "Category" Column</t>
  </si>
  <si>
    <t xml:space="preserve">               Applying  Data Bar for " Price Column"</t>
  </si>
  <si>
    <t>Based on "Product" I was  Handle Missing data with the help of  "Average"</t>
  </si>
  <si>
    <t xml:space="preserve">Product - Based Category Identification </t>
  </si>
  <si>
    <t>Find and Replace for Product Name Standardization</t>
  </si>
  <si>
    <t>Duplicate Data Identification and Removal</t>
  </si>
  <si>
    <t>ACTIONS</t>
  </si>
  <si>
    <t xml:space="preserve">FUNCTION </t>
  </si>
  <si>
    <t>Price Column</t>
  </si>
  <si>
    <t>Categories Column</t>
  </si>
  <si>
    <t>Category Column</t>
  </si>
  <si>
    <t>Text Standardization and Inconsistent Correction</t>
  </si>
  <si>
    <t xml:space="preserve"> Typo Correction and Spelling Error Correction</t>
  </si>
  <si>
    <t>Product Name Column</t>
  </si>
  <si>
    <t>Entire cell  / Data set</t>
  </si>
  <si>
    <t>Manufacturing Date &amp; Country Code</t>
  </si>
  <si>
    <t>Right Function - Extracting the "Country Code" from the "Product ID"</t>
  </si>
  <si>
    <t>Left Function - Extracting the "Manufacturing  Date" from the "Product ID"</t>
  </si>
  <si>
    <t xml:space="preserve">             Missing Values in Price Column</t>
  </si>
  <si>
    <t xml:space="preserve">             Missing Items in Categories Column</t>
  </si>
  <si>
    <t xml:space="preserve">                Misspelling and  Typos present in "Category" Column</t>
  </si>
  <si>
    <t xml:space="preserve">                Merge Brand Name &amp; Product Name into "Product Brand"</t>
  </si>
  <si>
    <t>Concatenate Function - Merging Two Column into Single Column</t>
  </si>
  <si>
    <t>Price Column Formatting as "Currency"</t>
  </si>
  <si>
    <t>Manufacturing  Date Formatting as "DD-MM-YYYY"</t>
  </si>
  <si>
    <t>Conditional Formatting</t>
  </si>
  <si>
    <t>Data Bar Formatting for "Price Column"</t>
  </si>
  <si>
    <t>Date Format</t>
  </si>
  <si>
    <t>Currency Format</t>
  </si>
  <si>
    <t>Highlighting "Electronics" Category in the "Category  Column"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</si>
</sst>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-F800]dddd\,\ mmmm\ dd\,\ yyyy"/>
  </numFmts>
  <fonts count="11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6"/>
      <color theme="4"/>
      <name val="Arial Black"/>
      <family val="2"/>
    </font>
    <font>
      <b/>
      <sz val="14"/>
      <color theme="4"/>
      <name val="Arial Black"/>
      <family val="2"/>
    </font>
    <font>
      <b/>
      <sz val="11"/>
      <color theme="4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2"/>
      <color theme="4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rgb="FFE0F7FA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E0F7FA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3" fillId="3" borderId="5" xfId="0" applyFont="1" applyFill="1" applyBorder="1"/>
    <xf numFmtId="0" fontId="0" fillId="0" borderId="5" xfId="0" applyBorder="1"/>
    <xf numFmtId="0" fontId="0" fillId="0" borderId="6" xfId="0" applyBorder="1"/>
    <xf numFmtId="0" fontId="2" fillId="4" borderId="4" xfId="0" applyFont="1" applyFill="1" applyBorder="1"/>
    <xf numFmtId="0" fontId="2" fillId="4" borderId="5" xfId="0" applyFont="1" applyFill="1" applyBorder="1"/>
    <xf numFmtId="164" fontId="2" fillId="4" borderId="5" xfId="0" applyNumberFormat="1" applyFont="1" applyFill="1" applyBorder="1"/>
    <xf numFmtId="0" fontId="2" fillId="5" borderId="5" xfId="0" applyFont="1" applyFill="1" applyBorder="1"/>
    <xf numFmtId="0" fontId="4" fillId="6" borderId="5" xfId="0" applyFont="1" applyFill="1" applyBorder="1"/>
    <xf numFmtId="164" fontId="4" fillId="7" borderId="5" xfId="0" applyNumberFormat="1" applyFont="1" applyFill="1" applyBorder="1"/>
    <xf numFmtId="0" fontId="2" fillId="3" borderId="5" xfId="0" applyFont="1" applyFill="1" applyBorder="1"/>
    <xf numFmtId="0" fontId="4" fillId="7" borderId="5" xfId="0" applyFont="1" applyFill="1" applyBorder="1"/>
    <xf numFmtId="164" fontId="3" fillId="0" borderId="5" xfId="0" applyNumberFormat="1" applyFont="1" applyBorder="1"/>
    <xf numFmtId="0" fontId="2" fillId="4" borderId="7" xfId="0" applyFont="1" applyFill="1" applyBorder="1"/>
    <xf numFmtId="0" fontId="2" fillId="4" borderId="8" xfId="0" applyFont="1" applyFill="1" applyBorder="1"/>
    <xf numFmtId="164" fontId="2" fillId="4" borderId="8" xfId="0" applyNumberFormat="1" applyFont="1" applyFill="1" applyBorder="1"/>
    <xf numFmtId="0" fontId="0" fillId="0" borderId="8" xfId="0" applyBorder="1"/>
    <xf numFmtId="0" fontId="0" fillId="0" borderId="9" xfId="0" applyBorder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4" borderId="0" xfId="0" applyFont="1" applyFill="1"/>
    <xf numFmtId="165" fontId="1" fillId="2" borderId="2" xfId="0" applyNumberFormat="1" applyFont="1" applyFill="1" applyBorder="1" applyAlignment="1">
      <alignment horizontal="center"/>
    </xf>
    <xf numFmtId="165" fontId="0" fillId="0" borderId="5" xfId="0" applyNumberFormat="1" applyBorder="1"/>
    <xf numFmtId="165" fontId="0" fillId="0" borderId="8" xfId="0" applyNumberFormat="1" applyBorder="1"/>
    <xf numFmtId="165" fontId="0" fillId="0" borderId="0" xfId="0" applyNumberFormat="1"/>
    <xf numFmtId="0" fontId="7" fillId="3" borderId="5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0" fontId="10" fillId="3" borderId="12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0" fillId="3" borderId="6" xfId="0" applyFont="1" applyFill="1" applyBorder="1"/>
    <xf numFmtId="0" fontId="10" fillId="3" borderId="12" xfId="0" applyFont="1" applyFill="1" applyBorder="1"/>
    <xf numFmtId="0" fontId="10" fillId="3" borderId="4" xfId="0" applyFont="1" applyFill="1" applyBorder="1"/>
    <xf numFmtId="0" fontId="7" fillId="3" borderId="12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F800]dddd\,\ mmmm\ dd\,\ 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none"/>
      </font>
      <numFmt numFmtId="164" formatCode="&quot;₹&quot;\ #,##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D591DA-90DB-4987-888A-44BD518631E3}" name="Table25" displayName="Table25" ref="A1:I32" totalsRowShown="0" headerRowDxfId="12" headerRowBorderDxfId="11" tableBorderDxfId="10" totalsRowBorderDxfId="9">
  <tableColumns count="9">
    <tableColumn id="1" xr3:uid="{8F08DD1A-C434-4664-AC9F-D58FF27F9AC9}" name="Product ID" dataDxfId="8"/>
    <tableColumn id="2" xr3:uid="{E1634DE1-E415-4238-B769-6ABB42E091C3}" name="Product Name" dataDxfId="7"/>
    <tableColumn id="3" xr3:uid="{A3B61693-96D1-4635-B7FC-0086340B1378}" name="Brand Name" dataDxfId="6"/>
    <tableColumn id="4" xr3:uid="{93598369-3AB0-4CC2-BE40-B7D2D477F617}" name="Price ($)" dataDxfId="5"/>
    <tableColumn id="5" xr3:uid="{81D7F902-CB6E-48B6-B123-F63D7E4650E6}" name="Quantity" dataDxfId="4"/>
    <tableColumn id="6" xr3:uid="{4E96D8E7-D844-405B-9E81-F246BA7CEBDA}" name="Category" dataDxfId="3"/>
    <tableColumn id="7" xr3:uid="{4CD1022F-CEF0-4C03-960C-D75254214E90}" name="Manufacturing Date" dataDxfId="2">
      <calculatedColumnFormula>LEFT(A2,6)</calculatedColumnFormula>
    </tableColumn>
    <tableColumn id="8" xr3:uid="{F9449892-A735-48D7-8E7A-E921EA3E4C03}" name="Country Code" dataDxfId="1">
      <calculatedColumnFormula>RIGHT(A2,2)</calculatedColumnFormula>
    </tableColumn>
    <tableColumn id="9" xr3:uid="{E295B0DE-6D81-4DE3-9C8C-91B9745AE918}" name="Product Brand" dataDxfId="0">
      <calculatedColumnFormula>CONCATENATE(B2," ",C2)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47E8-DFE2-45CA-8055-6E61FE9BC56A}">
  <dimension ref="A1:F35"/>
  <sheetViews>
    <sheetView tabSelected="1" topLeftCell="A13" workbookViewId="0">
      <selection activeCell="E33" sqref="E33"/>
    </sheetView>
  </sheetViews>
  <sheetFormatPr defaultRowHeight="14.4" x14ac:dyDescent="0.3"/>
  <sheetData>
    <row r="1" spans="1:6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pans="1:6" x14ac:dyDescent="0.3">
      <c r="A2" s="26" t="s">
        <v>9</v>
      </c>
      <c r="B2" s="26" t="s">
        <v>97</v>
      </c>
      <c r="C2" s="26" t="s">
        <v>11</v>
      </c>
      <c r="D2" s="26">
        <v>1000</v>
      </c>
      <c r="E2" s="26">
        <v>30</v>
      </c>
      <c r="F2" s="26" t="s">
        <v>12</v>
      </c>
    </row>
    <row r="3" spans="1:6" x14ac:dyDescent="0.3">
      <c r="A3" s="27" t="s">
        <v>13</v>
      </c>
      <c r="B3" s="27" t="s">
        <v>14</v>
      </c>
      <c r="C3" s="27" t="s">
        <v>15</v>
      </c>
      <c r="D3" s="27">
        <v>80</v>
      </c>
      <c r="E3" s="27">
        <v>15</v>
      </c>
      <c r="F3" s="27" t="s">
        <v>16</v>
      </c>
    </row>
    <row r="4" spans="1:6" x14ac:dyDescent="0.3">
      <c r="A4" s="26" t="s">
        <v>17</v>
      </c>
      <c r="B4" s="26" t="s">
        <v>18</v>
      </c>
      <c r="C4" s="26" t="s">
        <v>19</v>
      </c>
      <c r="D4" s="26">
        <v>130</v>
      </c>
      <c r="E4" s="26">
        <v>40</v>
      </c>
      <c r="F4" s="26" t="s">
        <v>20</v>
      </c>
    </row>
    <row r="5" spans="1:6" x14ac:dyDescent="0.3">
      <c r="A5" s="27" t="s">
        <v>21</v>
      </c>
      <c r="B5" s="27" t="s">
        <v>98</v>
      </c>
      <c r="C5" s="27" t="s">
        <v>23</v>
      </c>
      <c r="D5" s="27">
        <v>900</v>
      </c>
      <c r="E5" s="27">
        <v>25</v>
      </c>
      <c r="F5" s="27" t="s">
        <v>12</v>
      </c>
    </row>
    <row r="6" spans="1:6" x14ac:dyDescent="0.3">
      <c r="A6" s="26" t="s">
        <v>24</v>
      </c>
      <c r="B6" s="26" t="s">
        <v>25</v>
      </c>
      <c r="C6" s="26" t="s">
        <v>26</v>
      </c>
      <c r="D6" s="26">
        <v>70</v>
      </c>
      <c r="E6" s="26">
        <v>20</v>
      </c>
      <c r="F6" s="26"/>
    </row>
    <row r="7" spans="1:6" x14ac:dyDescent="0.3">
      <c r="A7" s="27" t="s">
        <v>27</v>
      </c>
      <c r="B7" s="27" t="s">
        <v>28</v>
      </c>
      <c r="C7" s="27" t="s">
        <v>29</v>
      </c>
      <c r="D7" s="27"/>
      <c r="E7" s="27">
        <v>45</v>
      </c>
      <c r="F7" s="27" t="s">
        <v>99</v>
      </c>
    </row>
    <row r="8" spans="1:6" x14ac:dyDescent="0.3">
      <c r="A8" s="26" t="s">
        <v>30</v>
      </c>
      <c r="B8" s="26" t="s">
        <v>31</v>
      </c>
      <c r="C8" s="26" t="s">
        <v>32</v>
      </c>
      <c r="D8" s="26">
        <v>30</v>
      </c>
      <c r="E8" s="26">
        <v>5</v>
      </c>
      <c r="F8" s="26" t="s">
        <v>16</v>
      </c>
    </row>
    <row r="9" spans="1:6" x14ac:dyDescent="0.3">
      <c r="A9" s="27" t="s">
        <v>33</v>
      </c>
      <c r="B9" s="27" t="s">
        <v>34</v>
      </c>
      <c r="C9" s="27" t="s">
        <v>35</v>
      </c>
      <c r="D9" s="27">
        <v>90</v>
      </c>
      <c r="E9" s="27">
        <v>35</v>
      </c>
      <c r="F9" s="27" t="s">
        <v>20</v>
      </c>
    </row>
    <row r="10" spans="1:6" x14ac:dyDescent="0.3">
      <c r="A10" s="26" t="s">
        <v>36</v>
      </c>
      <c r="B10" s="26" t="s">
        <v>37</v>
      </c>
      <c r="C10" s="26" t="s">
        <v>38</v>
      </c>
      <c r="D10" s="26">
        <v>500</v>
      </c>
      <c r="E10" s="26">
        <v>50</v>
      </c>
      <c r="F10" s="26" t="s">
        <v>12</v>
      </c>
    </row>
    <row r="11" spans="1:6" x14ac:dyDescent="0.3">
      <c r="A11" s="27" t="s">
        <v>39</v>
      </c>
      <c r="B11" s="27" t="s">
        <v>40</v>
      </c>
      <c r="C11" s="27" t="s">
        <v>41</v>
      </c>
      <c r="D11" s="27">
        <v>130</v>
      </c>
      <c r="E11" s="27">
        <v>10</v>
      </c>
      <c r="F11" s="27" t="s">
        <v>42</v>
      </c>
    </row>
    <row r="12" spans="1:6" x14ac:dyDescent="0.3">
      <c r="A12" s="26" t="s">
        <v>43</v>
      </c>
      <c r="B12" s="26" t="s">
        <v>10</v>
      </c>
      <c r="C12" s="26" t="s">
        <v>44</v>
      </c>
      <c r="D12" s="26">
        <v>950</v>
      </c>
      <c r="E12" s="26">
        <v>25</v>
      </c>
      <c r="F12" s="26" t="s">
        <v>12</v>
      </c>
    </row>
    <row r="13" spans="1:6" x14ac:dyDescent="0.3">
      <c r="A13" s="27" t="s">
        <v>45</v>
      </c>
      <c r="B13" s="27" t="s">
        <v>14</v>
      </c>
      <c r="C13" s="27" t="s">
        <v>32</v>
      </c>
      <c r="D13" s="27">
        <v>90</v>
      </c>
      <c r="E13" s="27">
        <v>40</v>
      </c>
      <c r="F13" s="27"/>
    </row>
    <row r="14" spans="1:6" x14ac:dyDescent="0.3">
      <c r="A14" s="26" t="s">
        <v>46</v>
      </c>
      <c r="B14" s="26" t="s">
        <v>18</v>
      </c>
      <c r="C14" s="26" t="s">
        <v>47</v>
      </c>
      <c r="D14" s="26">
        <v>120</v>
      </c>
      <c r="E14" s="26">
        <v>35</v>
      </c>
      <c r="F14" s="26"/>
    </row>
    <row r="15" spans="1:6" x14ac:dyDescent="0.3">
      <c r="A15" s="27" t="s">
        <v>48</v>
      </c>
      <c r="B15" s="27" t="s">
        <v>49</v>
      </c>
      <c r="C15" s="27" t="s">
        <v>50</v>
      </c>
      <c r="D15" s="27">
        <v>150</v>
      </c>
      <c r="E15" s="27">
        <v>15</v>
      </c>
      <c r="F15" s="27" t="s">
        <v>99</v>
      </c>
    </row>
    <row r="16" spans="1:6" x14ac:dyDescent="0.3">
      <c r="A16" s="26" t="s">
        <v>51</v>
      </c>
      <c r="B16" s="26" t="s">
        <v>52</v>
      </c>
      <c r="C16" s="26" t="s">
        <v>53</v>
      </c>
      <c r="D16" s="26">
        <v>250</v>
      </c>
      <c r="E16" s="26">
        <v>20</v>
      </c>
      <c r="F16" s="26" t="s">
        <v>99</v>
      </c>
    </row>
    <row r="17" spans="1:6" x14ac:dyDescent="0.3">
      <c r="A17" s="27" t="s">
        <v>54</v>
      </c>
      <c r="B17" s="27" t="s">
        <v>55</v>
      </c>
      <c r="C17" s="27" t="s">
        <v>56</v>
      </c>
      <c r="D17" s="27">
        <v>50</v>
      </c>
      <c r="E17" s="27">
        <v>35</v>
      </c>
      <c r="F17" s="27" t="s">
        <v>57</v>
      </c>
    </row>
    <row r="18" spans="1:6" x14ac:dyDescent="0.3">
      <c r="A18" s="26" t="s">
        <v>58</v>
      </c>
      <c r="B18" s="26" t="s">
        <v>49</v>
      </c>
      <c r="C18" s="26" t="s">
        <v>59</v>
      </c>
      <c r="D18" s="26">
        <v>160</v>
      </c>
      <c r="E18" s="26">
        <v>15</v>
      </c>
      <c r="F18" s="26" t="s">
        <v>99</v>
      </c>
    </row>
    <row r="19" spans="1:6" x14ac:dyDescent="0.3">
      <c r="A19" s="27" t="s">
        <v>60</v>
      </c>
      <c r="B19" s="27" t="s">
        <v>97</v>
      </c>
      <c r="C19" s="27" t="s">
        <v>61</v>
      </c>
      <c r="D19" s="27">
        <v>980</v>
      </c>
      <c r="E19" s="27">
        <v>10</v>
      </c>
      <c r="F19" s="27" t="s">
        <v>12</v>
      </c>
    </row>
    <row r="20" spans="1:6" x14ac:dyDescent="0.3">
      <c r="A20" s="26" t="s">
        <v>62</v>
      </c>
      <c r="B20" s="26" t="s">
        <v>63</v>
      </c>
      <c r="C20" s="26" t="s">
        <v>64</v>
      </c>
      <c r="D20" s="26">
        <v>150</v>
      </c>
      <c r="E20" s="26">
        <v>15</v>
      </c>
      <c r="F20" s="26" t="s">
        <v>16</v>
      </c>
    </row>
    <row r="21" spans="1:6" x14ac:dyDescent="0.3">
      <c r="A21" s="27" t="s">
        <v>65</v>
      </c>
      <c r="B21" s="27" t="s">
        <v>66</v>
      </c>
      <c r="C21" s="27" t="s">
        <v>67</v>
      </c>
      <c r="D21" s="27"/>
      <c r="E21" s="27">
        <v>10</v>
      </c>
      <c r="F21" s="27" t="s">
        <v>42</v>
      </c>
    </row>
    <row r="22" spans="1:6" x14ac:dyDescent="0.3">
      <c r="A22" s="26" t="s">
        <v>68</v>
      </c>
      <c r="B22" s="26" t="s">
        <v>69</v>
      </c>
      <c r="C22" s="26" t="s">
        <v>70</v>
      </c>
      <c r="D22" s="26">
        <v>700</v>
      </c>
      <c r="E22" s="26">
        <v>50</v>
      </c>
      <c r="F22" s="26" t="s">
        <v>12</v>
      </c>
    </row>
    <row r="23" spans="1:6" x14ac:dyDescent="0.3">
      <c r="A23" s="27" t="s">
        <v>71</v>
      </c>
      <c r="B23" s="27" t="s">
        <v>72</v>
      </c>
      <c r="C23" s="27" t="s">
        <v>73</v>
      </c>
      <c r="D23" s="27">
        <v>80</v>
      </c>
      <c r="E23" s="27">
        <v>20</v>
      </c>
      <c r="F23" s="27" t="s">
        <v>20</v>
      </c>
    </row>
    <row r="24" spans="1:6" x14ac:dyDescent="0.3">
      <c r="A24" s="26" t="s">
        <v>74</v>
      </c>
      <c r="B24" s="26" t="s">
        <v>75</v>
      </c>
      <c r="C24" s="26" t="s">
        <v>76</v>
      </c>
      <c r="D24" s="26">
        <v>150</v>
      </c>
      <c r="E24" s="26">
        <v>30</v>
      </c>
      <c r="F24" s="26"/>
    </row>
    <row r="25" spans="1:6" x14ac:dyDescent="0.3">
      <c r="A25" s="27" t="s">
        <v>54</v>
      </c>
      <c r="B25" s="27" t="s">
        <v>55</v>
      </c>
      <c r="C25" s="27" t="s">
        <v>56</v>
      </c>
      <c r="D25" s="27">
        <v>50</v>
      </c>
      <c r="E25" s="27">
        <v>35</v>
      </c>
      <c r="F25" s="27" t="s">
        <v>57</v>
      </c>
    </row>
    <row r="26" spans="1:6" x14ac:dyDescent="0.3">
      <c r="A26" s="26" t="s">
        <v>77</v>
      </c>
      <c r="B26" s="26" t="s">
        <v>22</v>
      </c>
      <c r="C26" s="26" t="s">
        <v>78</v>
      </c>
      <c r="D26" s="26">
        <v>800</v>
      </c>
      <c r="E26" s="26">
        <v>45</v>
      </c>
      <c r="F26" s="26" t="s">
        <v>12</v>
      </c>
    </row>
    <row r="27" spans="1:6" x14ac:dyDescent="0.3">
      <c r="A27" s="27" t="s">
        <v>79</v>
      </c>
      <c r="B27" s="27" t="s">
        <v>63</v>
      </c>
      <c r="C27" s="27" t="s">
        <v>80</v>
      </c>
      <c r="D27" s="27"/>
      <c r="E27" s="27">
        <v>25</v>
      </c>
      <c r="F27" s="27" t="s">
        <v>16</v>
      </c>
    </row>
    <row r="28" spans="1:6" x14ac:dyDescent="0.3">
      <c r="A28" s="26" t="s">
        <v>81</v>
      </c>
      <c r="B28" s="26" t="s">
        <v>34</v>
      </c>
      <c r="C28" s="26" t="s">
        <v>82</v>
      </c>
      <c r="D28" s="26">
        <v>400</v>
      </c>
      <c r="E28" s="26">
        <v>40</v>
      </c>
      <c r="F28" s="26" t="s">
        <v>20</v>
      </c>
    </row>
    <row r="29" spans="1:6" x14ac:dyDescent="0.3">
      <c r="A29" s="27" t="s">
        <v>51</v>
      </c>
      <c r="B29" s="27" t="s">
        <v>52</v>
      </c>
      <c r="C29" s="27" t="s">
        <v>53</v>
      </c>
      <c r="D29" s="27">
        <v>250</v>
      </c>
      <c r="E29" s="27">
        <v>20</v>
      </c>
      <c r="F29" s="27" t="s">
        <v>99</v>
      </c>
    </row>
    <row r="30" spans="1:6" x14ac:dyDescent="0.3">
      <c r="A30" s="26" t="s">
        <v>83</v>
      </c>
      <c r="B30" s="26" t="s">
        <v>84</v>
      </c>
      <c r="C30" s="26" t="s">
        <v>85</v>
      </c>
      <c r="D30" s="26">
        <v>60</v>
      </c>
      <c r="E30" s="26">
        <v>30</v>
      </c>
      <c r="F30" s="26" t="s">
        <v>16</v>
      </c>
    </row>
    <row r="31" spans="1:6" x14ac:dyDescent="0.3">
      <c r="A31" s="27" t="s">
        <v>86</v>
      </c>
      <c r="B31" s="27" t="s">
        <v>87</v>
      </c>
      <c r="C31" s="27" t="s">
        <v>88</v>
      </c>
      <c r="D31" s="27">
        <v>40</v>
      </c>
      <c r="E31" s="27">
        <v>10</v>
      </c>
      <c r="F31" s="27" t="s">
        <v>20</v>
      </c>
    </row>
    <row r="32" spans="1:6" x14ac:dyDescent="0.3">
      <c r="A32" s="26" t="s">
        <v>89</v>
      </c>
      <c r="B32" s="26" t="s">
        <v>75</v>
      </c>
      <c r="C32" s="26" t="s">
        <v>90</v>
      </c>
      <c r="D32" s="26">
        <v>130</v>
      </c>
      <c r="E32" s="26">
        <v>5</v>
      </c>
      <c r="F32" s="26" t="s">
        <v>12</v>
      </c>
    </row>
    <row r="33" spans="1:6" x14ac:dyDescent="0.3">
      <c r="A33" s="27" t="s">
        <v>91</v>
      </c>
      <c r="B33" s="27" t="s">
        <v>92</v>
      </c>
      <c r="C33" s="27" t="s">
        <v>93</v>
      </c>
      <c r="D33" s="27">
        <v>50</v>
      </c>
      <c r="E33" s="27">
        <v>50</v>
      </c>
      <c r="F33" s="27" t="s">
        <v>16</v>
      </c>
    </row>
    <row r="34" spans="1:6" x14ac:dyDescent="0.3">
      <c r="A34" s="26" t="s">
        <v>43</v>
      </c>
      <c r="B34" s="26" t="s">
        <v>10</v>
      </c>
      <c r="C34" s="26" t="s">
        <v>44</v>
      </c>
      <c r="D34" s="26">
        <v>950</v>
      </c>
      <c r="E34" s="26">
        <v>25</v>
      </c>
      <c r="F34" s="26" t="s">
        <v>12</v>
      </c>
    </row>
    <row r="35" spans="1:6" x14ac:dyDescent="0.3">
      <c r="A35" s="27" t="s">
        <v>94</v>
      </c>
      <c r="B35" s="27" t="s">
        <v>95</v>
      </c>
      <c r="C35" s="27" t="s">
        <v>96</v>
      </c>
      <c r="D35" s="27">
        <v>100</v>
      </c>
      <c r="E35" s="27">
        <v>20</v>
      </c>
      <c r="F35" s="2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8CEC-7ACA-4593-B0DA-B3A325D186C2}">
  <dimension ref="A1:I32"/>
  <sheetViews>
    <sheetView topLeftCell="A13" workbookViewId="0">
      <selection activeCell="L10" sqref="L10"/>
    </sheetView>
  </sheetViews>
  <sheetFormatPr defaultRowHeight="14.4" x14ac:dyDescent="0.3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7" max="7" width="22.6640625" style="31" bestFit="1" customWidth="1"/>
    <col min="8" max="8" width="17.77734375" bestFit="1" customWidth="1"/>
    <col min="9" max="9" width="20.88671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8" t="s">
        <v>6</v>
      </c>
      <c r="H1" s="2" t="s">
        <v>7</v>
      </c>
      <c r="I1" s="4" t="s">
        <v>8</v>
      </c>
    </row>
    <row r="2" spans="1:9" x14ac:dyDescent="0.3">
      <c r="A2" s="5" t="s">
        <v>9</v>
      </c>
      <c r="B2" s="6" t="s">
        <v>10</v>
      </c>
      <c r="C2" s="6" t="s">
        <v>11</v>
      </c>
      <c r="D2" s="7">
        <v>1000</v>
      </c>
      <c r="E2" s="6">
        <v>30</v>
      </c>
      <c r="F2" s="8" t="s">
        <v>12</v>
      </c>
      <c r="G2" s="29" t="str">
        <f>LEFT(A2,6)</f>
        <v>28-JAN</v>
      </c>
      <c r="H2" s="9" t="str">
        <f>RIGHT(A2,2)</f>
        <v>US</v>
      </c>
      <c r="I2" s="10" t="str">
        <f>CONCATENATE(B2," ",C2)</f>
        <v>Laptop Dell</v>
      </c>
    </row>
    <row r="3" spans="1:9" x14ac:dyDescent="0.3">
      <c r="A3" s="11" t="s">
        <v>13</v>
      </c>
      <c r="B3" s="12" t="s">
        <v>14</v>
      </c>
      <c r="C3" s="12" t="s">
        <v>15</v>
      </c>
      <c r="D3" s="13">
        <v>80</v>
      </c>
      <c r="E3" s="12">
        <v>15</v>
      </c>
      <c r="F3" s="12" t="s">
        <v>16</v>
      </c>
      <c r="G3" s="29" t="str">
        <f t="shared" ref="G3:G32" si="0">LEFT(A3,6)</f>
        <v>15-FEB</v>
      </c>
      <c r="H3" s="9" t="str">
        <f t="shared" ref="H3:H32" si="1">RIGHT(A3,2)</f>
        <v>US</v>
      </c>
      <c r="I3" s="10" t="str">
        <f t="shared" ref="I3:I32" si="2">CONCATENATE(B3," ",C3)</f>
        <v>Sneakers Nike</v>
      </c>
    </row>
    <row r="4" spans="1:9" x14ac:dyDescent="0.3">
      <c r="A4" s="5" t="s">
        <v>17</v>
      </c>
      <c r="B4" s="6" t="s">
        <v>18</v>
      </c>
      <c r="C4" s="6" t="s">
        <v>19</v>
      </c>
      <c r="D4" s="7">
        <v>130</v>
      </c>
      <c r="E4" s="6">
        <v>40</v>
      </c>
      <c r="F4" s="6" t="s">
        <v>20</v>
      </c>
      <c r="G4" s="29" t="str">
        <f t="shared" si="0"/>
        <v>03-MAR</v>
      </c>
      <c r="H4" s="9" t="str">
        <f t="shared" si="1"/>
        <v>US</v>
      </c>
      <c r="I4" s="10" t="str">
        <f t="shared" si="2"/>
        <v>Coffee Maker Keurig</v>
      </c>
    </row>
    <row r="5" spans="1:9" x14ac:dyDescent="0.3">
      <c r="A5" s="11" t="s">
        <v>21</v>
      </c>
      <c r="B5" s="12" t="s">
        <v>22</v>
      </c>
      <c r="C5" s="12" t="s">
        <v>23</v>
      </c>
      <c r="D5" s="13">
        <v>900</v>
      </c>
      <c r="E5" s="12">
        <v>25</v>
      </c>
      <c r="F5" s="14" t="s">
        <v>12</v>
      </c>
      <c r="G5" s="29" t="str">
        <f t="shared" si="0"/>
        <v>11-APR</v>
      </c>
      <c r="H5" s="9" t="str">
        <f t="shared" si="1"/>
        <v>US</v>
      </c>
      <c r="I5" s="10" t="str">
        <f t="shared" si="2"/>
        <v>Smartphone Samsung</v>
      </c>
    </row>
    <row r="6" spans="1:9" x14ac:dyDescent="0.3">
      <c r="A6" s="5" t="s">
        <v>24</v>
      </c>
      <c r="B6" s="6" t="s">
        <v>25</v>
      </c>
      <c r="C6" s="6" t="s">
        <v>26</v>
      </c>
      <c r="D6" s="7">
        <v>70</v>
      </c>
      <c r="E6" s="6">
        <v>20</v>
      </c>
      <c r="F6" s="15" t="s">
        <v>16</v>
      </c>
      <c r="G6" s="29" t="str">
        <f t="shared" si="0"/>
        <v>22-MAY</v>
      </c>
      <c r="H6" s="9" t="str">
        <f t="shared" si="1"/>
        <v>US</v>
      </c>
      <c r="I6" s="10" t="str">
        <f t="shared" si="2"/>
        <v>Backpack North Face</v>
      </c>
    </row>
    <row r="7" spans="1:9" x14ac:dyDescent="0.3">
      <c r="A7" s="11" t="s">
        <v>27</v>
      </c>
      <c r="B7" s="12" t="s">
        <v>28</v>
      </c>
      <c r="C7" s="12" t="s">
        <v>29</v>
      </c>
      <c r="D7" s="16">
        <v>250</v>
      </c>
      <c r="E7" s="12">
        <v>45</v>
      </c>
      <c r="F7" s="14" t="s">
        <v>12</v>
      </c>
      <c r="G7" s="29" t="str">
        <f t="shared" si="0"/>
        <v>07-JUN</v>
      </c>
      <c r="H7" s="9" t="str">
        <f t="shared" si="1"/>
        <v>UK</v>
      </c>
      <c r="I7" s="10" t="str">
        <f t="shared" si="2"/>
        <v>Headphones Sony</v>
      </c>
    </row>
    <row r="8" spans="1:9" x14ac:dyDescent="0.3">
      <c r="A8" s="5" t="s">
        <v>30</v>
      </c>
      <c r="B8" s="6" t="s">
        <v>31</v>
      </c>
      <c r="C8" s="6" t="s">
        <v>32</v>
      </c>
      <c r="D8" s="7">
        <v>30</v>
      </c>
      <c r="E8" s="6">
        <v>5</v>
      </c>
      <c r="F8" s="6" t="s">
        <v>16</v>
      </c>
      <c r="G8" s="29" t="str">
        <f t="shared" si="0"/>
        <v>19-JUL</v>
      </c>
      <c r="H8" s="9" t="str">
        <f t="shared" si="1"/>
        <v>UK</v>
      </c>
      <c r="I8" s="10" t="str">
        <f t="shared" si="2"/>
        <v>T-shirt Adidas</v>
      </c>
    </row>
    <row r="9" spans="1:9" x14ac:dyDescent="0.3">
      <c r="A9" s="11" t="s">
        <v>33</v>
      </c>
      <c r="B9" s="12" t="s">
        <v>34</v>
      </c>
      <c r="C9" s="12" t="s">
        <v>35</v>
      </c>
      <c r="D9" s="13">
        <v>90</v>
      </c>
      <c r="E9" s="12">
        <v>35</v>
      </c>
      <c r="F9" s="12" t="s">
        <v>20</v>
      </c>
      <c r="G9" s="29" t="str">
        <f t="shared" si="0"/>
        <v>23-AUG</v>
      </c>
      <c r="H9" s="9" t="str">
        <f t="shared" si="1"/>
        <v>UK</v>
      </c>
      <c r="I9" s="10" t="str">
        <f t="shared" si="2"/>
        <v>Blender Ninja</v>
      </c>
    </row>
    <row r="10" spans="1:9" x14ac:dyDescent="0.3">
      <c r="A10" s="5" t="s">
        <v>36</v>
      </c>
      <c r="B10" s="6" t="s">
        <v>37</v>
      </c>
      <c r="C10" s="6" t="s">
        <v>38</v>
      </c>
      <c r="D10" s="7">
        <v>500</v>
      </c>
      <c r="E10" s="6">
        <v>50</v>
      </c>
      <c r="F10" s="17" t="s">
        <v>12</v>
      </c>
      <c r="G10" s="29" t="str">
        <f t="shared" si="0"/>
        <v>05-SEP</v>
      </c>
      <c r="H10" s="9" t="str">
        <f t="shared" si="1"/>
        <v>UK</v>
      </c>
      <c r="I10" s="10" t="str">
        <f t="shared" si="2"/>
        <v>Tablet Apple</v>
      </c>
    </row>
    <row r="11" spans="1:9" x14ac:dyDescent="0.3">
      <c r="A11" s="11" t="s">
        <v>39</v>
      </c>
      <c r="B11" s="12" t="s">
        <v>40</v>
      </c>
      <c r="C11" s="12" t="s">
        <v>41</v>
      </c>
      <c r="D11" s="13">
        <v>130</v>
      </c>
      <c r="E11" s="12">
        <v>10</v>
      </c>
      <c r="F11" s="12" t="s">
        <v>42</v>
      </c>
      <c r="G11" s="29" t="str">
        <f t="shared" si="0"/>
        <v>14-OCT</v>
      </c>
      <c r="H11" s="9" t="str">
        <f t="shared" si="1"/>
        <v>UK</v>
      </c>
      <c r="I11" s="10" t="str">
        <f t="shared" si="2"/>
        <v>Hiking Boots Timberland</v>
      </c>
    </row>
    <row r="12" spans="1:9" x14ac:dyDescent="0.3">
      <c r="A12" s="5" t="s">
        <v>43</v>
      </c>
      <c r="B12" s="6" t="s">
        <v>10</v>
      </c>
      <c r="C12" s="6" t="s">
        <v>44</v>
      </c>
      <c r="D12" s="7">
        <v>950</v>
      </c>
      <c r="E12" s="6">
        <v>25</v>
      </c>
      <c r="F12" s="17" t="s">
        <v>12</v>
      </c>
      <c r="G12" s="29" t="str">
        <f t="shared" si="0"/>
        <v>17-JUN</v>
      </c>
      <c r="H12" s="9" t="str">
        <f t="shared" si="1"/>
        <v>IN</v>
      </c>
      <c r="I12" s="10" t="str">
        <f t="shared" si="2"/>
        <v>Laptop HP</v>
      </c>
    </row>
    <row r="13" spans="1:9" x14ac:dyDescent="0.3">
      <c r="A13" s="11" t="s">
        <v>45</v>
      </c>
      <c r="B13" s="12" t="s">
        <v>14</v>
      </c>
      <c r="C13" s="12" t="s">
        <v>32</v>
      </c>
      <c r="D13" s="13">
        <v>90</v>
      </c>
      <c r="E13" s="12">
        <v>40</v>
      </c>
      <c r="F13" s="18" t="s">
        <v>16</v>
      </c>
      <c r="G13" s="29" t="str">
        <f t="shared" si="0"/>
        <v>25-NOV</v>
      </c>
      <c r="H13" s="9" t="str">
        <f t="shared" si="1"/>
        <v>AU</v>
      </c>
      <c r="I13" s="10" t="str">
        <f t="shared" si="2"/>
        <v>Sneakers Adidas</v>
      </c>
    </row>
    <row r="14" spans="1:9" x14ac:dyDescent="0.3">
      <c r="A14" s="5" t="s">
        <v>46</v>
      </c>
      <c r="B14" s="6" t="s">
        <v>18</v>
      </c>
      <c r="C14" s="6" t="s">
        <v>47</v>
      </c>
      <c r="D14" s="7">
        <v>120</v>
      </c>
      <c r="E14" s="6">
        <v>35</v>
      </c>
      <c r="F14" s="15" t="s">
        <v>20</v>
      </c>
      <c r="G14" s="29" t="str">
        <f t="shared" si="0"/>
        <v>08-DEC</v>
      </c>
      <c r="H14" s="9" t="str">
        <f t="shared" si="1"/>
        <v>DE</v>
      </c>
      <c r="I14" s="10" t="str">
        <f t="shared" si="2"/>
        <v>Coffee Maker Nespresso</v>
      </c>
    </row>
    <row r="15" spans="1:9" x14ac:dyDescent="0.3">
      <c r="A15" s="11" t="s">
        <v>48</v>
      </c>
      <c r="B15" s="12" t="s">
        <v>49</v>
      </c>
      <c r="C15" s="12" t="s">
        <v>50</v>
      </c>
      <c r="D15" s="13">
        <v>150</v>
      </c>
      <c r="E15" s="12">
        <v>15</v>
      </c>
      <c r="F15" s="14" t="s">
        <v>12</v>
      </c>
      <c r="G15" s="29" t="str">
        <f t="shared" si="0"/>
        <v>18-FEB</v>
      </c>
      <c r="H15" s="9" t="str">
        <f t="shared" si="1"/>
        <v>CA</v>
      </c>
      <c r="I15" s="10" t="str">
        <f t="shared" si="2"/>
        <v>Smartwatch Fitbit</v>
      </c>
    </row>
    <row r="16" spans="1:9" x14ac:dyDescent="0.3">
      <c r="A16" s="5" t="s">
        <v>51</v>
      </c>
      <c r="B16" s="6" t="s">
        <v>52</v>
      </c>
      <c r="C16" s="6" t="s">
        <v>53</v>
      </c>
      <c r="D16" s="7">
        <v>250</v>
      </c>
      <c r="E16" s="6">
        <v>20</v>
      </c>
      <c r="F16" s="17" t="s">
        <v>12</v>
      </c>
      <c r="G16" s="29" t="str">
        <f t="shared" si="0"/>
        <v>16-APR</v>
      </c>
      <c r="H16" s="9" t="str">
        <f t="shared" si="1"/>
        <v>ES</v>
      </c>
      <c r="I16" s="10" t="str">
        <f t="shared" si="2"/>
        <v>headphones Bose</v>
      </c>
    </row>
    <row r="17" spans="1:9" x14ac:dyDescent="0.3">
      <c r="A17" s="11" t="s">
        <v>54</v>
      </c>
      <c r="B17" s="12" t="s">
        <v>55</v>
      </c>
      <c r="C17" s="12" t="s">
        <v>56</v>
      </c>
      <c r="D17" s="13">
        <v>50</v>
      </c>
      <c r="E17" s="12">
        <v>35</v>
      </c>
      <c r="F17" s="12" t="s">
        <v>57</v>
      </c>
      <c r="G17" s="29" t="str">
        <f t="shared" si="0"/>
        <v>21-AUG</v>
      </c>
      <c r="H17" s="9" t="str">
        <f t="shared" si="1"/>
        <v>CA</v>
      </c>
      <c r="I17" s="10" t="str">
        <f t="shared" si="2"/>
        <v>Laptop Bag Samsonite</v>
      </c>
    </row>
    <row r="18" spans="1:9" x14ac:dyDescent="0.3">
      <c r="A18" s="5" t="s">
        <v>58</v>
      </c>
      <c r="B18" s="6" t="s">
        <v>49</v>
      </c>
      <c r="C18" s="6" t="s">
        <v>59</v>
      </c>
      <c r="D18" s="7">
        <v>160</v>
      </c>
      <c r="E18" s="6">
        <v>15</v>
      </c>
      <c r="F18" s="17" t="s">
        <v>12</v>
      </c>
      <c r="G18" s="29" t="str">
        <f t="shared" si="0"/>
        <v>20-AUG</v>
      </c>
      <c r="H18" s="9" t="str">
        <f t="shared" si="1"/>
        <v>CN</v>
      </c>
      <c r="I18" s="10" t="str">
        <f t="shared" si="2"/>
        <v>Smartwatch Huawei</v>
      </c>
    </row>
    <row r="19" spans="1:9" x14ac:dyDescent="0.3">
      <c r="A19" s="11" t="s">
        <v>60</v>
      </c>
      <c r="B19" s="12" t="s">
        <v>10</v>
      </c>
      <c r="C19" s="12" t="s">
        <v>61</v>
      </c>
      <c r="D19" s="13">
        <v>980</v>
      </c>
      <c r="E19" s="12">
        <v>10</v>
      </c>
      <c r="F19" s="14" t="s">
        <v>12</v>
      </c>
      <c r="G19" s="29" t="str">
        <f t="shared" si="0"/>
        <v>27-JAN</v>
      </c>
      <c r="H19" s="9" t="str">
        <f t="shared" si="1"/>
        <v>IT</v>
      </c>
      <c r="I19" s="10" t="str">
        <f t="shared" si="2"/>
        <v>Laptop Asus</v>
      </c>
    </row>
    <row r="20" spans="1:9" x14ac:dyDescent="0.3">
      <c r="A20" s="5" t="s">
        <v>62</v>
      </c>
      <c r="B20" s="6" t="s">
        <v>63</v>
      </c>
      <c r="C20" s="6" t="s">
        <v>64</v>
      </c>
      <c r="D20" s="7">
        <v>150</v>
      </c>
      <c r="E20" s="6">
        <v>15</v>
      </c>
      <c r="F20" s="6" t="s">
        <v>16</v>
      </c>
      <c r="G20" s="29" t="str">
        <f t="shared" si="0"/>
        <v>01-MAR</v>
      </c>
      <c r="H20" s="9" t="str">
        <f t="shared" si="1"/>
        <v>UK</v>
      </c>
      <c r="I20" s="10" t="str">
        <f t="shared" si="2"/>
        <v>Sunglasses Oakley</v>
      </c>
    </row>
    <row r="21" spans="1:9" x14ac:dyDescent="0.3">
      <c r="A21" s="11" t="s">
        <v>65</v>
      </c>
      <c r="B21" s="12" t="s">
        <v>66</v>
      </c>
      <c r="C21" s="12" t="s">
        <v>67</v>
      </c>
      <c r="D21" s="16">
        <v>130</v>
      </c>
      <c r="E21" s="12">
        <v>10</v>
      </c>
      <c r="F21" s="12" t="s">
        <v>42</v>
      </c>
      <c r="G21" s="29" t="str">
        <f t="shared" si="0"/>
        <v>14-AUG</v>
      </c>
      <c r="H21" s="9" t="str">
        <f t="shared" si="1"/>
        <v>US</v>
      </c>
      <c r="I21" s="10" t="str">
        <f t="shared" si="2"/>
        <v>Camping Tent Coleman</v>
      </c>
    </row>
    <row r="22" spans="1:9" x14ac:dyDescent="0.3">
      <c r="A22" s="5" t="s">
        <v>68</v>
      </c>
      <c r="B22" s="6" t="s">
        <v>69</v>
      </c>
      <c r="C22" s="6" t="s">
        <v>70</v>
      </c>
      <c r="D22" s="19">
        <v>700</v>
      </c>
      <c r="E22" s="6">
        <v>50</v>
      </c>
      <c r="F22" s="17" t="s">
        <v>12</v>
      </c>
      <c r="G22" s="29" t="str">
        <f t="shared" si="0"/>
        <v>14-MAY</v>
      </c>
      <c r="H22" s="9" t="str">
        <f t="shared" si="1"/>
        <v>RU</v>
      </c>
      <c r="I22" s="10" t="str">
        <f t="shared" si="2"/>
        <v>Camera Nikon</v>
      </c>
    </row>
    <row r="23" spans="1:9" x14ac:dyDescent="0.3">
      <c r="A23" s="11" t="s">
        <v>71</v>
      </c>
      <c r="B23" s="12" t="s">
        <v>72</v>
      </c>
      <c r="C23" s="12" t="s">
        <v>73</v>
      </c>
      <c r="D23" s="13">
        <v>80</v>
      </c>
      <c r="E23" s="12">
        <v>20</v>
      </c>
      <c r="F23" s="12" t="s">
        <v>20</v>
      </c>
      <c r="G23" s="29" t="str">
        <f t="shared" si="0"/>
        <v>09-JAN</v>
      </c>
      <c r="H23" s="9" t="str">
        <f t="shared" si="1"/>
        <v>CA</v>
      </c>
      <c r="I23" s="10" t="str">
        <f t="shared" si="2"/>
        <v>Microwave Panasonic</v>
      </c>
    </row>
    <row r="24" spans="1:9" x14ac:dyDescent="0.3">
      <c r="A24" s="5" t="s">
        <v>74</v>
      </c>
      <c r="B24" s="6" t="s">
        <v>75</v>
      </c>
      <c r="C24" s="6" t="s">
        <v>76</v>
      </c>
      <c r="D24" s="7">
        <v>150</v>
      </c>
      <c r="E24" s="6">
        <v>30</v>
      </c>
      <c r="F24" s="8" t="s">
        <v>12</v>
      </c>
      <c r="G24" s="29" t="str">
        <f t="shared" si="0"/>
        <v>19-JUL</v>
      </c>
      <c r="H24" s="9" t="str">
        <f t="shared" si="1"/>
        <v>BR</v>
      </c>
      <c r="I24" s="10" t="str">
        <f t="shared" si="2"/>
        <v>Fitness Tracker Xiaomi</v>
      </c>
    </row>
    <row r="25" spans="1:9" x14ac:dyDescent="0.3">
      <c r="A25" s="5" t="s">
        <v>77</v>
      </c>
      <c r="B25" s="6" t="s">
        <v>22</v>
      </c>
      <c r="C25" s="6" t="s">
        <v>78</v>
      </c>
      <c r="D25" s="7">
        <v>800</v>
      </c>
      <c r="E25" s="6">
        <v>45</v>
      </c>
      <c r="F25" s="17" t="s">
        <v>12</v>
      </c>
      <c r="G25" s="29" t="str">
        <f t="shared" si="0"/>
        <v>29-SEP</v>
      </c>
      <c r="H25" s="9" t="str">
        <f t="shared" si="1"/>
        <v>CA</v>
      </c>
      <c r="I25" s="10" t="str">
        <f t="shared" si="2"/>
        <v>Smartphone Google</v>
      </c>
    </row>
    <row r="26" spans="1:9" x14ac:dyDescent="0.3">
      <c r="A26" s="11" t="s">
        <v>79</v>
      </c>
      <c r="B26" s="12" t="s">
        <v>63</v>
      </c>
      <c r="C26" s="12" t="s">
        <v>80</v>
      </c>
      <c r="D26" s="16">
        <v>150</v>
      </c>
      <c r="E26" s="12">
        <v>25</v>
      </c>
      <c r="F26" s="12" t="s">
        <v>16</v>
      </c>
      <c r="G26" s="29" t="str">
        <f t="shared" si="0"/>
        <v>03-JUN</v>
      </c>
      <c r="H26" s="9" t="str">
        <f t="shared" si="1"/>
        <v>CA</v>
      </c>
      <c r="I26" s="10" t="str">
        <f t="shared" si="2"/>
        <v>Sunglasses Ray-Ban</v>
      </c>
    </row>
    <row r="27" spans="1:9" x14ac:dyDescent="0.3">
      <c r="A27" s="5" t="s">
        <v>81</v>
      </c>
      <c r="B27" s="6" t="s">
        <v>34</v>
      </c>
      <c r="C27" s="6" t="s">
        <v>82</v>
      </c>
      <c r="D27" s="19">
        <v>400</v>
      </c>
      <c r="E27" s="6">
        <v>40</v>
      </c>
      <c r="F27" s="6" t="s">
        <v>20</v>
      </c>
      <c r="G27" s="29" t="str">
        <f t="shared" si="0"/>
        <v>11-JUL</v>
      </c>
      <c r="H27" s="9" t="str">
        <f t="shared" si="1"/>
        <v>CA</v>
      </c>
      <c r="I27" s="10" t="str">
        <f t="shared" si="2"/>
        <v>Blender Vitamix</v>
      </c>
    </row>
    <row r="28" spans="1:9" x14ac:dyDescent="0.3">
      <c r="A28" s="5" t="s">
        <v>83</v>
      </c>
      <c r="B28" s="6" t="s">
        <v>84</v>
      </c>
      <c r="C28" s="6" t="s">
        <v>85</v>
      </c>
      <c r="D28" s="7">
        <v>60</v>
      </c>
      <c r="E28" s="6">
        <v>30</v>
      </c>
      <c r="F28" s="6" t="s">
        <v>16</v>
      </c>
      <c r="G28" s="29" t="str">
        <f t="shared" si="0"/>
        <v>07-MAR</v>
      </c>
      <c r="H28" s="9" t="str">
        <f t="shared" si="1"/>
        <v>CA</v>
      </c>
      <c r="I28" s="10" t="str">
        <f t="shared" si="2"/>
        <v>Dress Zara</v>
      </c>
    </row>
    <row r="29" spans="1:9" x14ac:dyDescent="0.3">
      <c r="A29" s="11" t="s">
        <v>86</v>
      </c>
      <c r="B29" s="12" t="s">
        <v>87</v>
      </c>
      <c r="C29" s="12" t="s">
        <v>88</v>
      </c>
      <c r="D29" s="13">
        <v>40</v>
      </c>
      <c r="E29" s="12">
        <v>10</v>
      </c>
      <c r="F29" s="12" t="s">
        <v>20</v>
      </c>
      <c r="G29" s="29" t="str">
        <f t="shared" si="0"/>
        <v>13-APR</v>
      </c>
      <c r="H29" s="9" t="str">
        <f t="shared" si="1"/>
        <v>CA</v>
      </c>
      <c r="I29" s="10" t="str">
        <f t="shared" si="2"/>
        <v>Toaster Hamilton</v>
      </c>
    </row>
    <row r="30" spans="1:9" x14ac:dyDescent="0.3">
      <c r="A30" s="5" t="s">
        <v>89</v>
      </c>
      <c r="B30" s="6" t="s">
        <v>75</v>
      </c>
      <c r="C30" s="6" t="s">
        <v>90</v>
      </c>
      <c r="D30" s="7">
        <v>130</v>
      </c>
      <c r="E30" s="6">
        <v>5</v>
      </c>
      <c r="F30" s="17" t="s">
        <v>12</v>
      </c>
      <c r="G30" s="29" t="str">
        <f t="shared" si="0"/>
        <v>24-MAY</v>
      </c>
      <c r="H30" s="9" t="str">
        <f t="shared" si="1"/>
        <v>CA</v>
      </c>
      <c r="I30" s="10" t="str">
        <f t="shared" si="2"/>
        <v>Fitness Tracker Garmin</v>
      </c>
    </row>
    <row r="31" spans="1:9" x14ac:dyDescent="0.3">
      <c r="A31" s="11" t="s">
        <v>91</v>
      </c>
      <c r="B31" s="12" t="s">
        <v>92</v>
      </c>
      <c r="C31" s="12" t="s">
        <v>93</v>
      </c>
      <c r="D31" s="13">
        <v>50</v>
      </c>
      <c r="E31" s="12">
        <v>50</v>
      </c>
      <c r="F31" s="12" t="s">
        <v>16</v>
      </c>
      <c r="G31" s="29" t="str">
        <f t="shared" si="0"/>
        <v>02-DEC</v>
      </c>
      <c r="H31" s="9" t="str">
        <f t="shared" si="1"/>
        <v>CA</v>
      </c>
      <c r="I31" s="10" t="str">
        <f t="shared" si="2"/>
        <v>Jeans Levi's</v>
      </c>
    </row>
    <row r="32" spans="1:9" x14ac:dyDescent="0.3">
      <c r="A32" s="20" t="s">
        <v>94</v>
      </c>
      <c r="B32" s="21" t="s">
        <v>95</v>
      </c>
      <c r="C32" s="21" t="s">
        <v>96</v>
      </c>
      <c r="D32" s="22">
        <v>100</v>
      </c>
      <c r="E32" s="21">
        <v>20</v>
      </c>
      <c r="F32" s="21" t="s">
        <v>57</v>
      </c>
      <c r="G32" s="30" t="str">
        <f t="shared" si="0"/>
        <v>09-JUL</v>
      </c>
      <c r="H32" s="23" t="str">
        <f t="shared" si="1"/>
        <v>FR</v>
      </c>
      <c r="I32" s="24" t="str">
        <f t="shared" si="2"/>
        <v>Watch Casio</v>
      </c>
    </row>
  </sheetData>
  <conditionalFormatting sqref="D1:D3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{615C8C56-94C6-4D48-A39F-FF46F8667D4B}</x14:id>
        </ext>
      </extLst>
    </cfRule>
  </conditionalFormatting>
  <conditionalFormatting sqref="F1:F3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{7397AF8C-FAE7-4E40-A8D8-6C4A64644F98}</x14:id>
        </ext>
      </extLst>
    </cfRule>
  </conditionalFormatting>
  <conditionalFormatting sqref="F1:F1048576">
    <cfRule type="colorScale" priority="1">
      <colorScale>
        <cfvo type="min"/>
        <cfvo type="max"/>
        <color rgb="FFFF7128"/>
        <color rgb="FFFFEF9C"/>
      </colorScale>
    </cfRule>
  </conditionalFormatting>
  <conditionalFormatting sqref="F2 F5 F10 F7 F12 F15:F16 F18:F19 F22 F24:F25 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{B86EAC07-EA38-4AD5-9E7C-909E9D775238}</x14:id>
        </ext>
      </extLst>
    </cfRule>
  </conditionalFormatting>
  <conditionalFormatting sqref="F2:F3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{84BB362F-B8E8-4B10-A889-42F35CF8AB00}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5C8C56-94C6-4D48-A39F-FF46F8667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D1:D32</xm:sqref>
        </x14:conditionalFormatting>
        <x14:conditionalFormatting xmlns:xm="http://schemas.microsoft.com/office/excel/2006/main">
          <x14:cfRule type="dataBar" id="{7397AF8C-FAE7-4E40-A8D8-6C4A64644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F1:F32</xm:sqref>
        </x14:conditionalFormatting>
        <x14:conditionalFormatting xmlns:xm="http://schemas.microsoft.com/office/excel/2006/main">
          <x14:cfRule type="dataBar" id="{B86EAC07-EA38-4AD5-9E7C-909E9D7752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 F5 F10 F7 F12 F15:F16 F18:F19 F22 F24:F25 F30</xm:sqref>
        </x14:conditionalFormatting>
        <x14:conditionalFormatting xmlns:xm="http://schemas.microsoft.com/office/excel/2006/main">
          <x14:cfRule type="dataBar" id="{84BB362F-B8E8-4B10-A889-42F35CF8AB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F868-BBC9-454D-9836-3E00D2ECCD4E}">
  <dimension ref="A1:P23"/>
  <sheetViews>
    <sheetView workbookViewId="0">
      <selection activeCell="B10" sqref="B10:G10"/>
    </sheetView>
  </sheetViews>
  <sheetFormatPr defaultRowHeight="14.4" x14ac:dyDescent="0.3"/>
  <cols>
    <col min="7" max="7" width="9.77734375" customWidth="1"/>
    <col min="8" max="8" width="34" customWidth="1"/>
  </cols>
  <sheetData>
    <row r="1" spans="1:16" ht="14.4" customHeight="1" x14ac:dyDescent="0.3">
      <c r="A1" s="81" t="s">
        <v>100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3"/>
    </row>
    <row r="2" spans="1:16" ht="14.4" customHeight="1" x14ac:dyDescent="0.3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6"/>
    </row>
    <row r="3" spans="1:16" ht="14.4" customHeight="1" x14ac:dyDescent="0.3">
      <c r="A3" s="50" t="s">
        <v>101</v>
      </c>
      <c r="B3" s="51"/>
      <c r="C3" s="51"/>
      <c r="D3" s="51"/>
      <c r="E3" s="51"/>
      <c r="F3" s="51"/>
      <c r="G3" s="52"/>
      <c r="H3" s="87" t="s">
        <v>119</v>
      </c>
      <c r="I3" s="50" t="s">
        <v>120</v>
      </c>
      <c r="J3" s="51"/>
      <c r="K3" s="51"/>
      <c r="L3" s="51"/>
      <c r="M3" s="51"/>
      <c r="N3" s="51"/>
      <c r="O3" s="51"/>
      <c r="P3" s="52"/>
    </row>
    <row r="4" spans="1:16" ht="14.4" customHeight="1" x14ac:dyDescent="0.3">
      <c r="A4" s="53"/>
      <c r="B4" s="54"/>
      <c r="C4" s="54"/>
      <c r="D4" s="54"/>
      <c r="E4" s="54"/>
      <c r="F4" s="54"/>
      <c r="G4" s="55"/>
      <c r="H4" s="88"/>
      <c r="I4" s="53"/>
      <c r="J4" s="54"/>
      <c r="K4" s="54"/>
      <c r="L4" s="54"/>
      <c r="M4" s="54"/>
      <c r="N4" s="54"/>
      <c r="O4" s="54"/>
      <c r="P4" s="55"/>
    </row>
    <row r="5" spans="1:16" ht="15.6" x14ac:dyDescent="0.3">
      <c r="A5" s="32">
        <v>1</v>
      </c>
      <c r="B5" s="64" t="s">
        <v>102</v>
      </c>
      <c r="C5" s="65"/>
      <c r="D5" s="65"/>
      <c r="E5" s="65"/>
      <c r="F5" s="65"/>
      <c r="G5" s="66"/>
      <c r="H5" s="33"/>
      <c r="I5" s="67"/>
      <c r="J5" s="68"/>
      <c r="K5" s="68"/>
      <c r="L5" s="68"/>
      <c r="M5" s="68"/>
      <c r="N5" s="68"/>
      <c r="O5" s="68"/>
      <c r="P5" s="69"/>
    </row>
    <row r="6" spans="1:16" ht="15.6" x14ac:dyDescent="0.3">
      <c r="A6" s="34"/>
      <c r="B6" s="56" t="s">
        <v>131</v>
      </c>
      <c r="C6" s="57"/>
      <c r="D6" s="57"/>
      <c r="E6" s="57"/>
      <c r="F6" s="57"/>
      <c r="G6" s="58"/>
      <c r="H6" s="35" t="s">
        <v>121</v>
      </c>
      <c r="I6" s="36" t="s">
        <v>115</v>
      </c>
      <c r="J6" s="35"/>
      <c r="K6" s="35"/>
      <c r="L6" s="35"/>
      <c r="M6" s="35"/>
      <c r="N6" s="35"/>
      <c r="O6" s="35"/>
      <c r="P6" s="37"/>
    </row>
    <row r="7" spans="1:16" ht="15.6" x14ac:dyDescent="0.3">
      <c r="A7" s="38"/>
      <c r="B7" s="47" t="s">
        <v>132</v>
      </c>
      <c r="C7" s="48"/>
      <c r="D7" s="48"/>
      <c r="E7" s="48"/>
      <c r="F7" s="48"/>
      <c r="G7" s="49"/>
      <c r="H7" s="35" t="s">
        <v>122</v>
      </c>
      <c r="I7" s="47" t="s">
        <v>116</v>
      </c>
      <c r="J7" s="48"/>
      <c r="K7" s="48"/>
      <c r="L7" s="48"/>
      <c r="M7" s="48"/>
      <c r="N7" s="48"/>
      <c r="O7" s="48"/>
      <c r="P7" s="49"/>
    </row>
    <row r="8" spans="1:16" ht="15.6" x14ac:dyDescent="0.3">
      <c r="A8" s="39">
        <v>2</v>
      </c>
      <c r="B8" s="64" t="s">
        <v>103</v>
      </c>
      <c r="C8" s="65"/>
      <c r="D8" s="65"/>
      <c r="E8" s="65"/>
      <c r="F8" s="65"/>
      <c r="G8" s="66"/>
      <c r="H8" s="33"/>
      <c r="I8" s="70"/>
      <c r="J8" s="71"/>
      <c r="K8" s="71"/>
      <c r="L8" s="71"/>
      <c r="M8" s="71"/>
      <c r="N8" s="71"/>
      <c r="O8" s="71"/>
      <c r="P8" s="72"/>
    </row>
    <row r="9" spans="1:16" ht="15.6" x14ac:dyDescent="0.3">
      <c r="A9" s="61"/>
      <c r="B9" s="44" t="s">
        <v>108</v>
      </c>
      <c r="C9" s="45"/>
      <c r="D9" s="45"/>
      <c r="E9" s="45"/>
      <c r="F9" s="45"/>
      <c r="G9" s="46"/>
      <c r="H9" s="35" t="s">
        <v>1</v>
      </c>
      <c r="I9" s="47" t="s">
        <v>124</v>
      </c>
      <c r="J9" s="48"/>
      <c r="K9" s="48"/>
      <c r="L9" s="48"/>
      <c r="M9" s="48"/>
      <c r="N9" s="48"/>
      <c r="O9" s="48"/>
      <c r="P9" s="49"/>
    </row>
    <row r="10" spans="1:16" ht="15.6" x14ac:dyDescent="0.3">
      <c r="A10" s="62"/>
      <c r="B10" s="44" t="s">
        <v>133</v>
      </c>
      <c r="C10" s="59"/>
      <c r="D10" s="59"/>
      <c r="E10" s="59"/>
      <c r="F10" s="59"/>
      <c r="G10" s="60"/>
      <c r="H10" s="35" t="s">
        <v>123</v>
      </c>
      <c r="I10" s="47" t="s">
        <v>125</v>
      </c>
      <c r="J10" s="48"/>
      <c r="K10" s="48"/>
      <c r="L10" s="48"/>
      <c r="M10" s="48"/>
      <c r="N10" s="48"/>
      <c r="O10" s="48"/>
      <c r="P10" s="49"/>
    </row>
    <row r="11" spans="1:16" ht="15.6" x14ac:dyDescent="0.3">
      <c r="A11" s="62"/>
      <c r="B11" s="44" t="s">
        <v>104</v>
      </c>
      <c r="C11" s="45"/>
      <c r="D11" s="45"/>
      <c r="E11" s="45"/>
      <c r="F11" s="45"/>
      <c r="G11" s="46"/>
      <c r="H11" s="35" t="s">
        <v>126</v>
      </c>
      <c r="I11" s="47" t="s">
        <v>117</v>
      </c>
      <c r="J11" s="48"/>
      <c r="K11" s="48"/>
      <c r="L11" s="48"/>
      <c r="M11" s="48"/>
      <c r="N11" s="48"/>
      <c r="O11" s="48"/>
      <c r="P11" s="49"/>
    </row>
    <row r="12" spans="1:16" ht="15.6" x14ac:dyDescent="0.3">
      <c r="A12" s="39">
        <v>3</v>
      </c>
      <c r="B12" s="64" t="s">
        <v>105</v>
      </c>
      <c r="C12" s="65"/>
      <c r="D12" s="65"/>
      <c r="E12" s="65"/>
      <c r="F12" s="65"/>
      <c r="G12" s="66"/>
      <c r="H12" s="33"/>
      <c r="I12" s="47"/>
      <c r="J12" s="48"/>
      <c r="K12" s="48"/>
      <c r="L12" s="48"/>
      <c r="M12" s="48"/>
      <c r="N12" s="48"/>
      <c r="O12" s="48"/>
      <c r="P12" s="49"/>
    </row>
    <row r="13" spans="1:16" ht="15.6" x14ac:dyDescent="0.3">
      <c r="A13" s="39"/>
      <c r="B13" s="44"/>
      <c r="C13" s="45"/>
      <c r="D13" s="45"/>
      <c r="E13" s="45"/>
      <c r="F13" s="45"/>
      <c r="G13" s="46"/>
      <c r="H13" s="35" t="s">
        <v>127</v>
      </c>
      <c r="I13" s="47" t="s">
        <v>118</v>
      </c>
      <c r="J13" s="48"/>
      <c r="K13" s="48"/>
      <c r="L13" s="48"/>
      <c r="M13" s="48"/>
      <c r="N13" s="48"/>
      <c r="O13" s="48"/>
      <c r="P13" s="49"/>
    </row>
    <row r="14" spans="1:16" ht="15.6" x14ac:dyDescent="0.3">
      <c r="A14" s="39">
        <v>4</v>
      </c>
      <c r="B14" s="64" t="s">
        <v>106</v>
      </c>
      <c r="C14" s="65"/>
      <c r="D14" s="65"/>
      <c r="E14" s="65"/>
      <c r="F14" s="65"/>
      <c r="G14" s="66"/>
      <c r="H14" s="33"/>
      <c r="I14" s="47"/>
      <c r="J14" s="48"/>
      <c r="K14" s="48"/>
      <c r="L14" s="48"/>
      <c r="M14" s="48"/>
      <c r="N14" s="48"/>
      <c r="O14" s="48"/>
      <c r="P14" s="49"/>
    </row>
    <row r="15" spans="1:16" ht="15.6" x14ac:dyDescent="0.3">
      <c r="A15" s="61"/>
      <c r="B15" s="73" t="s">
        <v>107</v>
      </c>
      <c r="C15" s="74"/>
      <c r="D15" s="74"/>
      <c r="E15" s="74"/>
      <c r="F15" s="74"/>
      <c r="G15" s="75"/>
      <c r="H15" s="79" t="s">
        <v>128</v>
      </c>
      <c r="I15" s="47" t="s">
        <v>130</v>
      </c>
      <c r="J15" s="48"/>
      <c r="K15" s="48"/>
      <c r="L15" s="48"/>
      <c r="M15" s="48"/>
      <c r="N15" s="48"/>
      <c r="O15" s="48"/>
      <c r="P15" s="49"/>
    </row>
    <row r="16" spans="1:16" ht="15.6" x14ac:dyDescent="0.3">
      <c r="A16" s="63"/>
      <c r="B16" s="76"/>
      <c r="C16" s="77"/>
      <c r="D16" s="77"/>
      <c r="E16" s="77"/>
      <c r="F16" s="77"/>
      <c r="G16" s="78"/>
      <c r="H16" s="80"/>
      <c r="I16" s="47" t="s">
        <v>129</v>
      </c>
      <c r="J16" s="48"/>
      <c r="K16" s="48"/>
      <c r="L16" s="48"/>
      <c r="M16" s="48"/>
      <c r="N16" s="48"/>
      <c r="O16" s="48"/>
      <c r="P16" s="49"/>
    </row>
    <row r="17" spans="1:16" ht="15.6" x14ac:dyDescent="0.3">
      <c r="A17" s="39"/>
      <c r="B17" s="44" t="s">
        <v>134</v>
      </c>
      <c r="C17" s="48"/>
      <c r="D17" s="48"/>
      <c r="E17" s="48"/>
      <c r="F17" s="48"/>
      <c r="G17" s="49"/>
      <c r="H17" s="35" t="s">
        <v>8</v>
      </c>
      <c r="I17" s="47" t="s">
        <v>135</v>
      </c>
      <c r="J17" s="48"/>
      <c r="K17" s="48"/>
      <c r="L17" s="48"/>
      <c r="M17" s="48"/>
      <c r="N17" s="48"/>
      <c r="O17" s="48"/>
      <c r="P17" s="49"/>
    </row>
    <row r="18" spans="1:16" ht="15.6" x14ac:dyDescent="0.3">
      <c r="A18" s="39">
        <v>5</v>
      </c>
      <c r="B18" s="64" t="s">
        <v>109</v>
      </c>
      <c r="C18" s="65"/>
      <c r="D18" s="65"/>
      <c r="E18" s="65"/>
      <c r="F18" s="65"/>
      <c r="G18" s="66"/>
      <c r="H18" s="33"/>
      <c r="I18" s="67"/>
      <c r="J18" s="68"/>
      <c r="K18" s="68"/>
      <c r="L18" s="68"/>
      <c r="M18" s="68"/>
      <c r="N18" s="68"/>
      <c r="O18" s="68"/>
      <c r="P18" s="69"/>
    </row>
    <row r="19" spans="1:16" x14ac:dyDescent="0.3">
      <c r="A19" s="39"/>
      <c r="B19" s="44" t="s">
        <v>112</v>
      </c>
      <c r="C19" s="45"/>
      <c r="D19" s="45"/>
      <c r="E19" s="45"/>
      <c r="F19" s="45"/>
      <c r="G19" s="46"/>
      <c r="H19" s="41" t="s">
        <v>141</v>
      </c>
      <c r="I19" s="44" t="s">
        <v>136</v>
      </c>
      <c r="J19" s="45"/>
      <c r="K19" s="45"/>
      <c r="L19" s="45"/>
      <c r="M19" s="45"/>
      <c r="N19" s="45"/>
      <c r="O19" s="45"/>
      <c r="P19" s="46"/>
    </row>
    <row r="20" spans="1:16" x14ac:dyDescent="0.3">
      <c r="A20" s="39"/>
      <c r="B20" s="44" t="s">
        <v>111</v>
      </c>
      <c r="C20" s="45"/>
      <c r="D20" s="45"/>
      <c r="E20" s="45"/>
      <c r="F20" s="45"/>
      <c r="G20" s="46"/>
      <c r="H20" s="41" t="s">
        <v>140</v>
      </c>
      <c r="I20" s="44" t="s">
        <v>137</v>
      </c>
      <c r="J20" s="45"/>
      <c r="K20" s="45"/>
      <c r="L20" s="45"/>
      <c r="M20" s="45"/>
      <c r="N20" s="45"/>
      <c r="O20" s="45"/>
      <c r="P20" s="46"/>
    </row>
    <row r="21" spans="1:16" ht="15.6" x14ac:dyDescent="0.3">
      <c r="A21" s="39">
        <v>6</v>
      </c>
      <c r="B21" s="64" t="s">
        <v>110</v>
      </c>
      <c r="C21" s="65"/>
      <c r="D21" s="65"/>
      <c r="E21" s="65"/>
      <c r="F21" s="65"/>
      <c r="G21" s="66"/>
      <c r="H21" s="33"/>
      <c r="I21" s="67"/>
      <c r="J21" s="68"/>
      <c r="K21" s="68"/>
      <c r="L21" s="68"/>
      <c r="M21" s="68"/>
      <c r="N21" s="68"/>
      <c r="O21" s="68"/>
      <c r="P21" s="69"/>
    </row>
    <row r="22" spans="1:16" x14ac:dyDescent="0.3">
      <c r="A22" s="43"/>
      <c r="B22" s="42" t="s">
        <v>114</v>
      </c>
      <c r="C22" s="42"/>
      <c r="D22" s="42"/>
      <c r="E22" s="42"/>
      <c r="F22" s="42"/>
      <c r="G22" s="42"/>
      <c r="H22" s="40" t="s">
        <v>138</v>
      </c>
      <c r="I22" s="44" t="s">
        <v>139</v>
      </c>
      <c r="J22" s="45"/>
      <c r="K22" s="45"/>
      <c r="L22" s="45"/>
      <c r="M22" s="45"/>
      <c r="N22" s="45"/>
      <c r="O22" s="45"/>
      <c r="P22" s="46"/>
    </row>
    <row r="23" spans="1:16" x14ac:dyDescent="0.3">
      <c r="A23" s="43"/>
      <c r="B23" s="42" t="s">
        <v>113</v>
      </c>
      <c r="C23" s="42"/>
      <c r="D23" s="42"/>
      <c r="E23" s="42"/>
      <c r="F23" s="42"/>
      <c r="G23" s="42"/>
      <c r="H23" s="40" t="s">
        <v>138</v>
      </c>
      <c r="I23" s="44" t="s">
        <v>142</v>
      </c>
      <c r="J23" s="45"/>
      <c r="K23" s="45"/>
      <c r="L23" s="45"/>
      <c r="M23" s="45"/>
      <c r="N23" s="45"/>
      <c r="O23" s="45"/>
      <c r="P23" s="46"/>
    </row>
  </sheetData>
  <mergeCells count="44">
    <mergeCell ref="A1:P2"/>
    <mergeCell ref="B5:G5"/>
    <mergeCell ref="B8:G8"/>
    <mergeCell ref="B12:G12"/>
    <mergeCell ref="B14:G14"/>
    <mergeCell ref="I7:P7"/>
    <mergeCell ref="I9:P9"/>
    <mergeCell ref="I10:P10"/>
    <mergeCell ref="I11:P11"/>
    <mergeCell ref="I13:P13"/>
    <mergeCell ref="H3:H4"/>
    <mergeCell ref="B21:G21"/>
    <mergeCell ref="B20:G20"/>
    <mergeCell ref="I3:P4"/>
    <mergeCell ref="I5:P5"/>
    <mergeCell ref="I8:P8"/>
    <mergeCell ref="I12:P12"/>
    <mergeCell ref="I21:P21"/>
    <mergeCell ref="I18:P18"/>
    <mergeCell ref="B18:G18"/>
    <mergeCell ref="I15:P15"/>
    <mergeCell ref="I17:P17"/>
    <mergeCell ref="B15:G16"/>
    <mergeCell ref="H15:H16"/>
    <mergeCell ref="I16:P16"/>
    <mergeCell ref="I19:P19"/>
    <mergeCell ref="I20:P20"/>
    <mergeCell ref="B19:G19"/>
    <mergeCell ref="I14:P14"/>
    <mergeCell ref="A3:G4"/>
    <mergeCell ref="B6:G6"/>
    <mergeCell ref="B7:G7"/>
    <mergeCell ref="B9:G9"/>
    <mergeCell ref="B10:G10"/>
    <mergeCell ref="A9:A11"/>
    <mergeCell ref="A15:A16"/>
    <mergeCell ref="B11:G11"/>
    <mergeCell ref="B13:G13"/>
    <mergeCell ref="B17:G17"/>
    <mergeCell ref="B22:G22"/>
    <mergeCell ref="B23:G23"/>
    <mergeCell ref="A22:A23"/>
    <mergeCell ref="I23:P23"/>
    <mergeCell ref="I22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Original_Dataset</vt:lpstr>
      <vt:lpstr>Cleaned_Dataset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durgashanmugam1996@outlook.com</dc:creator>
  <cp:lastModifiedBy>durgashanmugam1996@outlook.com</cp:lastModifiedBy>
  <dcterms:created xsi:type="dcterms:W3CDTF">2026-08-28T15:38:10Z</dcterms:created>
  <dcterms:modified xsi:type="dcterms:W3CDTF">2026-08-30T07:21:24Z</dcterms:modified>
</cp:coreProperties>
</file>